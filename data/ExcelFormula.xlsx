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<sst xmlns="http://schemas.openxmlformats.org/spreadsheetml/2006/main" count="192" uniqueCount="60">
  <si>
    <t>Message</t>
  </si>
  <si>
    <t>True Label</t>
  </si>
  <si>
    <t>Lowercase</t>
  </si>
  <si>
    <t>Bully Words</t>
  </si>
  <si>
    <t>Threats</t>
  </si>
  <si>
    <t>All Caps Count</t>
  </si>
  <si>
    <t>Exclamation Count</t>
  </si>
  <si>
    <t>Profanity</t>
  </si>
  <si>
    <t>Score</t>
  </si>
  <si>
    <t>AI Prediction</t>
  </si>
  <si>
    <t>Why (Triggered Rules)</t>
  </si>
  <si>
    <t xml:space="preserve">Correct? </t>
  </si>
  <si>
    <t>AI PREDICTION T2</t>
  </si>
  <si>
    <t>SCORE T2</t>
  </si>
  <si>
    <t>WHY T2</t>
  </si>
  <si>
    <t>CORRECT T2</t>
  </si>
  <si>
    <t>RANDOM ORDER</t>
  </si>
  <si>
    <t>AI PREDICATION T3</t>
  </si>
  <si>
    <t>SCORE T3</t>
  </si>
  <si>
    <t>WHY T3</t>
  </si>
  <si>
    <t>CORRECT T3</t>
  </si>
  <si>
    <t>idiot</t>
  </si>
  <si>
    <t>U</t>
  </si>
  <si>
    <t>Incorrect</t>
  </si>
  <si>
    <t>scum</t>
  </si>
  <si>
    <t>B</t>
  </si>
  <si>
    <t>scumbag</t>
  </si>
  <si>
    <t>weirdo</t>
  </si>
  <si>
    <t>sissy</t>
  </si>
  <si>
    <t>ugly</t>
  </si>
  <si>
    <t>Correct</t>
  </si>
  <si>
    <t>stupid</t>
  </si>
  <si>
    <t>You’re such a loser, go away.</t>
  </si>
  <si>
    <t>Nice job on your project!</t>
  </si>
  <si>
    <t>N</t>
  </si>
  <si>
    <t>kill you</t>
  </si>
  <si>
    <t>Nobody wants you here!</t>
  </si>
  <si>
    <t>you're disgusting</t>
  </si>
  <si>
    <t>youre so chopped</t>
  </si>
  <si>
    <t>youre cute</t>
  </si>
  <si>
    <t>you can't pull anyone</t>
  </si>
  <si>
    <t>hurt you</t>
  </si>
  <si>
    <t>stalk you</t>
  </si>
  <si>
    <t>beat you</t>
  </si>
  <si>
    <t>kys</t>
  </si>
  <si>
    <t>stop existing</t>
  </si>
  <si>
    <t>stop living</t>
  </si>
  <si>
    <t>i'm going to murder you!</t>
  </si>
  <si>
    <t>SHUT UP!</t>
  </si>
  <si>
    <t>YOUR SO UGLY!!!</t>
  </si>
  <si>
    <t>YOUR SUCH A LOSER!</t>
  </si>
  <si>
    <t>IM GONNA BEAT YOU!</t>
  </si>
  <si>
    <t>your an asshole</t>
  </si>
  <si>
    <t>sybua</t>
  </si>
  <si>
    <t>fuck you</t>
  </si>
  <si>
    <t>stop being a dick</t>
  </si>
  <si>
    <t>f u</t>
  </si>
  <si>
    <t>SHUT THE FUCK UP!!!!!</t>
  </si>
  <si>
    <t>you motherfucker</t>
  </si>
  <si>
    <t>go to hell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</si>
</sst>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188038"/>
      <name val="Roboto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</row>
    <row r="2">
      <c r="A2" s="3" t="s">
        <v>21</v>
      </c>
      <c r="B2" s="2" t="s">
        <v>22</v>
      </c>
      <c r="C2" s="4" t="str">
        <f t="shared" ref="C2:C9" si="1">LOWER(A2)</f>
        <v>idiot</v>
      </c>
      <c r="D2" s="5" t="b">
        <f>IFERROR(__xludf.DUMMYFUNCTION("REGEXMATCH(C2, ""\b(idiot|loser|stupid|dumb|moron|jerk|trash|worthless|crybaby|weirdo|fool|lazy|ugly|nobody|pathetic|silly|annoying|ridiculous|losing|weak|lame|failure|idiotic|clown|jerkface|dummy|loserface)\b"")"),TRUE)</f>
        <v>1</v>
      </c>
      <c r="E2" s="5" t="b">
        <f>IFERROR(__xludf.DUMMYFUNCTION("REGEXMATCH(C2,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2" s="6">
        <f>IFERROR(__xludf.DUMMYFUNCTION("LEN(REGEXREPLACE(A2,""[^A-Z]"",""""))"),0.0)</f>
        <v>0</v>
      </c>
      <c r="G2" s="6">
        <f>IFERROR(__xludf.DUMMYFUNCTION("LEN(REGEXREPLACE(A2,""[^!]"",""""))"),0.0)</f>
        <v>0</v>
      </c>
      <c r="H2" s="5" t="b">
        <f>IFERROR(__xludf.DUMMYFUNCTION("REGEXMATCH("" "" &amp; REGEXREPLACE(LOWER(C2), ""[^a-z0-9 ]"", "" "") &amp; "" "", ""\b(fuck|shit|ass|bitch|bastard|bullshit|cunt|dick|hell|motherfucker|niger|f u|asshole)\b"")
"),FALSE)</f>
        <v>0</v>
      </c>
      <c r="I2" s="6">
        <f t="shared" ref="I2:I9" si="2"> (N(D2)*2) + (N(E2)*5) + IF(F2&gt;4,2,0) + IF(G2&gt;=3,1,0) + (N(H2)*2)</f>
        <v>2</v>
      </c>
      <c r="J2" s="4" t="str">
        <f t="shared" ref="J2:J35" si="3">IF(I2&gt;=5,"BULLY",IF(I2&gt;=2,"POSSIBLE","NOT BULLY"))
</f>
        <v>POSSIBLE</v>
      </c>
      <c r="K2" s="2" t="str">
        <f t="shared" ref="K2:K35" si="4">TRIM(
IF(D2," bully_word","") &amp;
IF(E2," threat","") &amp;
IF(F2&gt;4," ALL_CAPS","") &amp;
IF(G2&gt;=3," exclamations","") &amp;
IF(H2," profanity","")
)
</f>
        <v>bully_word</v>
      </c>
      <c r="L2" s="2" t="s">
        <v>23</v>
      </c>
      <c r="M2" s="4" t="str">
        <f t="shared" ref="M2:M35" si="5">IF(I2&gt;=5,"BULLY",IF(I2&gt;=2,"POSSIBLE","NOT BULLY"))
</f>
        <v>POSSIBLE</v>
      </c>
      <c r="N2" s="6">
        <f t="shared" ref="N2:N35" si="6"> (N(D2)*2) + (N(E2)*5) + IF(F2,2,0) + IF(G2&gt;=3,1,0) + (N(H2)*2)
</f>
        <v>2</v>
      </c>
      <c r="O2" s="4" t="str">
        <f t="shared" ref="O2:O35" si="7">TRIM(
IF(D2," bully_word","") &amp;
IF(E2," threat","") &amp;
IF(F2&gt;4," ALL_CAPS","") &amp;
IF(G2&gt;=3," exclamations","") &amp;
IF(H2," profanity","")
)
</f>
        <v>bully_word</v>
      </c>
      <c r="P2" s="2" t="s">
        <v>23</v>
      </c>
      <c r="Q2" s="7">
        <f t="shared" ref="Q2:Q35" si="8">RAND()</f>
        <v>0.9461686199</v>
      </c>
      <c r="R2" s="4" t="str">
        <f t="shared" ref="R2:R35" si="9">IF(I2&gt;=5,"BULLY",IF(I2&gt;=2,"POSSIBLE","NOT BULLY"))
</f>
        <v>POSSIBLE</v>
      </c>
      <c r="S2" s="6">
        <f t="shared" ref="S2:S35" si="10"> (N(D2)*2) + (N(E2)*5) + IF(F2,2,0) + IF(G2&gt;=3,1,0) + (N(H2)*2)
</f>
        <v>2</v>
      </c>
      <c r="T2" s="4" t="str">
        <f>TRIM(
IF(D2," bully_word","") &amp;
IF(E2," threat","") &amp;
IF(F2&gt;4," ALL_CAPS","") &amp;
IF(G2&gt;=3," exclamations","") &amp;
IF(H2," profanity","")
)
</f>
        <v>bully_word</v>
      </c>
      <c r="U2" s="2" t="s">
        <v>23</v>
      </c>
      <c r="V2" s="2"/>
      <c r="W2" s="2"/>
      <c r="X2" s="2"/>
      <c r="Y2" s="2"/>
    </row>
    <row r="3">
      <c r="A3" s="2" t="s">
        <v>24</v>
      </c>
      <c r="B3" s="2" t="s">
        <v>25</v>
      </c>
      <c r="C3" s="4" t="str">
        <f t="shared" si="1"/>
        <v>scum</v>
      </c>
      <c r="D3" s="5" t="b">
        <f>IFERROR(__xludf.DUMMYFUNCTION("REGEXMATCH(C3, ""\b(idiot|loser|stupid|dumb|moron|jerk|trash|worthless|crybaby|weirdo|fool|lazy|ugly|nobody|pathetic|silly|annoying|ridiculous|losing|weak|lame|failure|idiotic|clown|jerkface|dummy|loserface)\b"")"),FALSE)</f>
        <v>0</v>
      </c>
      <c r="E3" s="5" t="b">
        <f>IFERROR(__xludf.DUMMYFUNCTION("REGEXMATCH(C3,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3" s="6">
        <f>IFERROR(__xludf.DUMMYFUNCTION("LEN(REGEXREPLACE(A3,""[^A-Z]"",""""))"),0.0)</f>
        <v>0</v>
      </c>
      <c r="G3" s="6">
        <f>IFERROR(__xludf.DUMMYFUNCTION("LEN(REGEXREPLACE(A3,""[^!]"",""""))"),0.0)</f>
        <v>0</v>
      </c>
      <c r="H3" s="5" t="b">
        <f>IFERROR(__xludf.DUMMYFUNCTION("REGEXMATCH("" "" &amp; REGEXREPLACE(LOWER(C3), ""[^a-z0-9 ]"", "" "") &amp; "" "", ""\b(fuck|shit|ass|bitch|bastard|bullshit|cunt|dick|hell|motherfucker|niger|f u|asshole)\b"")
"),FALSE)</f>
        <v>0</v>
      </c>
      <c r="I3" s="6">
        <f t="shared" si="2"/>
        <v>0</v>
      </c>
      <c r="J3" s="4" t="str">
        <f t="shared" si="3"/>
        <v>NOT BULLY</v>
      </c>
      <c r="K3" s="2" t="str">
        <f t="shared" si="4"/>
        <v/>
      </c>
      <c r="L3" s="2" t="s">
        <v>23</v>
      </c>
      <c r="M3" s="4" t="str">
        <f t="shared" si="5"/>
        <v>NOT BULLY</v>
      </c>
      <c r="N3" s="6">
        <f t="shared" si="6"/>
        <v>0</v>
      </c>
      <c r="O3" s="2" t="str">
        <f t="shared" si="7"/>
        <v/>
      </c>
      <c r="P3" s="2" t="s">
        <v>23</v>
      </c>
      <c r="Q3" s="7">
        <f t="shared" si="8"/>
        <v>0.3117360729</v>
      </c>
      <c r="R3" s="4" t="str">
        <f t="shared" si="9"/>
        <v>NOT BULLY</v>
      </c>
      <c r="S3" s="6">
        <f t="shared" si="10"/>
        <v>0</v>
      </c>
      <c r="T3" s="2"/>
      <c r="U3" s="2" t="s">
        <v>23</v>
      </c>
      <c r="V3" s="2"/>
      <c r="W3" s="2"/>
      <c r="X3" s="2"/>
      <c r="Y3" s="2"/>
    </row>
    <row r="4">
      <c r="A4" s="2" t="s">
        <v>26</v>
      </c>
      <c r="B4" s="2" t="s">
        <v>25</v>
      </c>
      <c r="C4" s="4" t="str">
        <f t="shared" si="1"/>
        <v>scumbag</v>
      </c>
      <c r="D4" s="5" t="b">
        <f>IFERROR(__xludf.DUMMYFUNCTION("REGEXMATCH(C4, ""\b(idiot|loser|stupid|dumb|moron|jerk|trash|worthless|crybaby|weirdo|fool|lazy|ugly|nobody|pathetic|silly|annoying|ridiculous|losing|weak|lame|failure|idiotic|clown|jerkface|dummy|loserface)\b"")"),FALSE)</f>
        <v>0</v>
      </c>
      <c r="E4" s="5" t="b">
        <f>IFERROR(__xludf.DUMMYFUNCTION("REGEXMATCH(C4,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4" s="6">
        <f>IFERROR(__xludf.DUMMYFUNCTION("LEN(REGEXREPLACE(A4,""[^A-Z]"",""""))"),0.0)</f>
        <v>0</v>
      </c>
      <c r="G4" s="6">
        <f>IFERROR(__xludf.DUMMYFUNCTION("LEN(REGEXREPLACE(A4,""[^!]"",""""))"),0.0)</f>
        <v>0</v>
      </c>
      <c r="H4" s="5" t="b">
        <f>IFERROR(__xludf.DUMMYFUNCTION("REGEXMATCH("" "" &amp; REGEXREPLACE(LOWER(C4), ""[^a-z0-9 ]"", "" "") &amp; "" "", ""\b(fuck|shit|ass|bitch|bastard|bullshit|cunt|dick|hell|motherfucker|niger|f u|asshole)\b"")
"),FALSE)</f>
        <v>0</v>
      </c>
      <c r="I4" s="6">
        <f t="shared" si="2"/>
        <v>0</v>
      </c>
      <c r="J4" s="4" t="str">
        <f t="shared" si="3"/>
        <v>NOT BULLY</v>
      </c>
      <c r="K4" s="2" t="str">
        <f t="shared" si="4"/>
        <v/>
      </c>
      <c r="L4" s="2" t="s">
        <v>23</v>
      </c>
      <c r="M4" s="4" t="str">
        <f t="shared" si="5"/>
        <v>NOT BULLY</v>
      </c>
      <c r="N4" s="6">
        <f t="shared" si="6"/>
        <v>0</v>
      </c>
      <c r="O4" s="2" t="str">
        <f t="shared" si="7"/>
        <v/>
      </c>
      <c r="P4" s="2" t="s">
        <v>23</v>
      </c>
      <c r="Q4" s="7">
        <f t="shared" si="8"/>
        <v>0.3329197754</v>
      </c>
      <c r="R4" s="4" t="str">
        <f t="shared" si="9"/>
        <v>NOT BULLY</v>
      </c>
      <c r="S4" s="6">
        <f t="shared" si="10"/>
        <v>0</v>
      </c>
      <c r="T4" s="2"/>
      <c r="U4" s="2" t="s">
        <v>23</v>
      </c>
      <c r="V4" s="2"/>
      <c r="W4" s="2"/>
      <c r="X4" s="2"/>
      <c r="Y4" s="2"/>
    </row>
    <row r="5">
      <c r="A5" s="2" t="s">
        <v>27</v>
      </c>
      <c r="B5" s="2" t="s">
        <v>22</v>
      </c>
      <c r="C5" s="4" t="str">
        <f t="shared" si="1"/>
        <v>weirdo</v>
      </c>
      <c r="D5" s="5" t="b">
        <f>IFERROR(__xludf.DUMMYFUNCTION("REGEXMATCH(C5, ""\b(idiot|loser|stupid|dumb|moron|jerk|trash|worthless|crybaby|weirdo|fool|lazy|ugly|nobody|pathetic|silly|annoying|ridiculous|losing|weak|lame|failure|idiotic|clown|jerkface|dummy|loserface)\b"")"),TRUE)</f>
        <v>1</v>
      </c>
      <c r="E5" s="5" t="b">
        <f>IFERROR(__xludf.DUMMYFUNCTION("REGEXMATCH(C5,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5" s="6">
        <f>IFERROR(__xludf.DUMMYFUNCTION("LEN(REGEXREPLACE(A5,""[^A-Z]"",""""))"),0.0)</f>
        <v>0</v>
      </c>
      <c r="G5" s="6">
        <f>IFERROR(__xludf.DUMMYFUNCTION("LEN(REGEXREPLACE(A5,""[^!]"",""""))"),0.0)</f>
        <v>0</v>
      </c>
      <c r="H5" s="5" t="b">
        <f>IFERROR(__xludf.DUMMYFUNCTION("REGEXMATCH("" "" &amp; REGEXREPLACE(LOWER(C5), ""[^a-z0-9 ]"", "" "") &amp; "" "", ""\b(fuck|shit|ass|bitch|bastard|bullshit|cunt|dick|hell|motherfucker|niger|f u|asshole)\b"")
"),FALSE)</f>
        <v>0</v>
      </c>
      <c r="I5" s="6">
        <f t="shared" si="2"/>
        <v>2</v>
      </c>
      <c r="J5" s="4" t="str">
        <f t="shared" si="3"/>
        <v>POSSIBLE</v>
      </c>
      <c r="K5" s="2" t="str">
        <f t="shared" si="4"/>
        <v>bully_word</v>
      </c>
      <c r="L5" s="2" t="s">
        <v>23</v>
      </c>
      <c r="M5" s="4" t="str">
        <f t="shared" si="5"/>
        <v>POSSIBLE</v>
      </c>
      <c r="N5" s="6">
        <f t="shared" si="6"/>
        <v>2</v>
      </c>
      <c r="O5" s="4" t="str">
        <f t="shared" si="7"/>
        <v>bully_word</v>
      </c>
      <c r="P5" s="2" t="s">
        <v>23</v>
      </c>
      <c r="Q5" s="7">
        <f t="shared" si="8"/>
        <v>0.9628885075</v>
      </c>
      <c r="R5" s="4" t="str">
        <f t="shared" si="9"/>
        <v>POSSIBLE</v>
      </c>
      <c r="S5" s="6">
        <f t="shared" si="10"/>
        <v>2</v>
      </c>
      <c r="T5" s="4" t="str">
        <f>TRIM(
IF(D2," bully_word","") &amp;
IF(E2," threat","") &amp;
IF(F2&gt;4," ALL_CAPS","") &amp;
IF(G2&gt;=3," exclamations","") &amp;
IF(H2," profanity","")
)
</f>
        <v>bully_word</v>
      </c>
      <c r="U5" s="2" t="s">
        <v>23</v>
      </c>
      <c r="V5" s="2"/>
      <c r="W5" s="2"/>
      <c r="X5" s="2"/>
      <c r="Y5" s="2"/>
    </row>
    <row r="6">
      <c r="A6" s="2" t="s">
        <v>28</v>
      </c>
      <c r="B6" s="2" t="s">
        <v>25</v>
      </c>
      <c r="C6" s="4" t="str">
        <f t="shared" si="1"/>
        <v>sissy</v>
      </c>
      <c r="D6" s="5" t="b">
        <f>IFERROR(__xludf.DUMMYFUNCTION("REGEXMATCH(C6, ""\b(idiot|loser|stupid|dumb|moron|jerk|trash|worthless|crybaby|weirdo|fool|lazy|ugly|nobody|pathetic|silly|annoying|ridiculous|losing|weak|lame|failure|idiotic|clown|jerkface|dummy|loserface)\b"")"),FALSE)</f>
        <v>0</v>
      </c>
      <c r="E6" s="5" t="b">
        <f>IFERROR(__xludf.DUMMYFUNCTION("REGEXMATCH(C6,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6" s="6">
        <f>IFERROR(__xludf.DUMMYFUNCTION("LEN(REGEXREPLACE(A6,""[^A-Z]"",""""))"),0.0)</f>
        <v>0</v>
      </c>
      <c r="G6" s="6">
        <f>IFERROR(__xludf.DUMMYFUNCTION("LEN(REGEXREPLACE(A6,""[^!]"",""""))"),0.0)</f>
        <v>0</v>
      </c>
      <c r="H6" s="5" t="b">
        <f>IFERROR(__xludf.DUMMYFUNCTION("REGEXMATCH("" "" &amp; REGEXREPLACE(LOWER(C6), ""[^a-z0-9 ]"", "" "") &amp; "" "", ""\b(fuck|shit|ass|bitch|bastard|bullshit|cunt|dick|hell|motherfucker|niger|f u|asshole)\b"")
"),FALSE)</f>
        <v>0</v>
      </c>
      <c r="I6" s="6">
        <f t="shared" si="2"/>
        <v>0</v>
      </c>
      <c r="J6" s="4" t="str">
        <f t="shared" si="3"/>
        <v>NOT BULLY</v>
      </c>
      <c r="K6" s="2" t="str">
        <f t="shared" si="4"/>
        <v/>
      </c>
      <c r="L6" s="2" t="s">
        <v>23</v>
      </c>
      <c r="M6" s="4" t="str">
        <f t="shared" si="5"/>
        <v>NOT BULLY</v>
      </c>
      <c r="N6" s="6">
        <f t="shared" si="6"/>
        <v>0</v>
      </c>
      <c r="O6" s="2" t="str">
        <f t="shared" si="7"/>
        <v/>
      </c>
      <c r="P6" s="2" t="s">
        <v>23</v>
      </c>
      <c r="Q6" s="7">
        <f t="shared" si="8"/>
        <v>0.6644687235</v>
      </c>
      <c r="R6" s="4" t="str">
        <f t="shared" si="9"/>
        <v>NOT BULLY</v>
      </c>
      <c r="S6" s="6">
        <f t="shared" si="10"/>
        <v>0</v>
      </c>
      <c r="T6" s="2"/>
      <c r="U6" s="2" t="s">
        <v>23</v>
      </c>
      <c r="V6" s="2"/>
      <c r="W6" s="2"/>
      <c r="X6" s="2"/>
      <c r="Y6" s="2"/>
    </row>
    <row r="7">
      <c r="A7" s="2" t="s">
        <v>29</v>
      </c>
      <c r="B7" s="2" t="s">
        <v>25</v>
      </c>
      <c r="C7" s="4" t="str">
        <f t="shared" si="1"/>
        <v>ugly</v>
      </c>
      <c r="D7" s="5" t="b">
        <f>IFERROR(__xludf.DUMMYFUNCTION("REGEXMATCH(C7, ""\b(idiot|loser|stupid|dumb|moron|jerk|trash|worthless|crybaby|weirdo|fool|lazy|ugly|nobody|pathetic|silly|annoying|ridiculous|losing|weak|lame|failure|idiotic|clown|jerkface|dummy|loserface)\b"")"),TRUE)</f>
        <v>1</v>
      </c>
      <c r="E7" s="5" t="b">
        <f>IFERROR(__xludf.DUMMYFUNCTION("REGEXMATCH(C7,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7" s="6">
        <f>IFERROR(__xludf.DUMMYFUNCTION("LEN(REGEXREPLACE(A7,""[^A-Z]"",""""))"),0.0)</f>
        <v>0</v>
      </c>
      <c r="G7" s="6">
        <f>IFERROR(__xludf.DUMMYFUNCTION("LEN(REGEXREPLACE(A7,""[^!]"",""""))"),0.0)</f>
        <v>0</v>
      </c>
      <c r="H7" s="5" t="b">
        <f>IFERROR(__xludf.DUMMYFUNCTION("REGEXMATCH("" "" &amp; REGEXREPLACE(LOWER(C7), ""[^a-z0-9 ]"", "" "") &amp; "" "", ""\b(fuck|shit|ass|bitch|bastard|bullshit|cunt|dick|hell|motherfucker|niger|f u|asshole)\b"")
"),FALSE)</f>
        <v>0</v>
      </c>
      <c r="I7" s="6">
        <f t="shared" si="2"/>
        <v>2</v>
      </c>
      <c r="J7" s="4" t="str">
        <f t="shared" si="3"/>
        <v>POSSIBLE</v>
      </c>
      <c r="K7" s="2" t="str">
        <f t="shared" si="4"/>
        <v>bully_word</v>
      </c>
      <c r="L7" s="2" t="s">
        <v>30</v>
      </c>
      <c r="M7" s="4" t="str">
        <f t="shared" si="5"/>
        <v>POSSIBLE</v>
      </c>
      <c r="N7" s="6">
        <f t="shared" si="6"/>
        <v>2</v>
      </c>
      <c r="O7" s="4" t="str">
        <f t="shared" si="7"/>
        <v>bully_word</v>
      </c>
      <c r="P7" s="2" t="s">
        <v>30</v>
      </c>
      <c r="Q7" s="7">
        <f t="shared" si="8"/>
        <v>0.8680259741</v>
      </c>
      <c r="R7" s="4" t="str">
        <f t="shared" si="9"/>
        <v>POSSIBLE</v>
      </c>
      <c r="S7" s="6">
        <f t="shared" si="10"/>
        <v>2</v>
      </c>
      <c r="T7" s="4" t="str">
        <f>TRIM(
IF(D2," bully_word","") &amp;
IF(E2," threat","") &amp;
IF(F2&gt;4," ALL_CAPS","") &amp;
IF(G2&gt;=3," exclamations","") &amp;
IF(H2," profanity","")
)
</f>
        <v>bully_word</v>
      </c>
      <c r="U7" s="2" t="s">
        <v>30</v>
      </c>
      <c r="V7" s="2"/>
      <c r="W7" s="2"/>
      <c r="X7" s="2"/>
      <c r="Y7" s="2"/>
    </row>
    <row r="8">
      <c r="A8" s="2" t="s">
        <v>31</v>
      </c>
      <c r="B8" s="2" t="s">
        <v>22</v>
      </c>
      <c r="C8" s="4" t="str">
        <f t="shared" si="1"/>
        <v>stupid</v>
      </c>
      <c r="D8" s="5" t="b">
        <f>IFERROR(__xludf.DUMMYFUNCTION("REGEXMATCH(C8, ""\b(idiot|loser|stupid|dumb|moron|jerk|trash|worthless|crybaby|weirdo|fool|lazy|ugly|nobody|pathetic|silly|annoying|ridiculous|losing|weak|lame|failure|idiotic|clown|jerkface|dummy|loserface)\b"")"),TRUE)</f>
        <v>1</v>
      </c>
      <c r="E8" s="5" t="b">
        <f>IFERROR(__xludf.DUMMYFUNCTION("REGEXMATCH(C8,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8" s="6">
        <f>IFERROR(__xludf.DUMMYFUNCTION("LEN(REGEXREPLACE(A8,""[^A-Z]"",""""))"),0.0)</f>
        <v>0</v>
      </c>
      <c r="G8" s="6">
        <f>IFERROR(__xludf.DUMMYFUNCTION("LEN(REGEXREPLACE(A8,""[^!]"",""""))"),0.0)</f>
        <v>0</v>
      </c>
      <c r="H8" s="5" t="b">
        <f>IFERROR(__xludf.DUMMYFUNCTION("REGEXMATCH("" "" &amp; REGEXREPLACE(LOWER(C8), ""[^a-z0-9 ]"", "" "") &amp; "" "", ""\b(fuck|shit|ass|bitch|bastard|bullshit|cunt|dick|hell|motherfucker|niger|f u|asshole)\b"")
"),FALSE)</f>
        <v>0</v>
      </c>
      <c r="I8" s="6">
        <f t="shared" si="2"/>
        <v>2</v>
      </c>
      <c r="J8" s="4" t="str">
        <f t="shared" si="3"/>
        <v>POSSIBLE</v>
      </c>
      <c r="K8" s="2" t="str">
        <f t="shared" si="4"/>
        <v>bully_word</v>
      </c>
      <c r="L8" s="2" t="s">
        <v>23</v>
      </c>
      <c r="M8" s="4" t="str">
        <f t="shared" si="5"/>
        <v>POSSIBLE</v>
      </c>
      <c r="N8" s="6">
        <f t="shared" si="6"/>
        <v>2</v>
      </c>
      <c r="O8" s="4" t="str">
        <f t="shared" si="7"/>
        <v>bully_word</v>
      </c>
      <c r="P8" s="2" t="s">
        <v>23</v>
      </c>
      <c r="Q8" s="7">
        <f t="shared" si="8"/>
        <v>0.03601910519</v>
      </c>
      <c r="R8" s="4" t="str">
        <f t="shared" si="9"/>
        <v>POSSIBLE</v>
      </c>
      <c r="S8" s="6">
        <f t="shared" si="10"/>
        <v>2</v>
      </c>
      <c r="T8" s="4" t="str">
        <f>TRIM(
IF(D2," bully_word","") &amp;
IF(E2," threat","") &amp;
IF(F2&gt;4," ALL_CAPS","") &amp;
IF(G2&gt;=3," exclamations","") &amp;
IF(H2," profanity","")
)
</f>
        <v>bully_word</v>
      </c>
      <c r="U8" s="2" t="s">
        <v>23</v>
      </c>
      <c r="V8" s="2"/>
      <c r="W8" s="2"/>
      <c r="X8" s="2"/>
      <c r="Y8" s="2"/>
    </row>
    <row r="9">
      <c r="A9" s="2" t="s">
        <v>32</v>
      </c>
      <c r="B9" s="2" t="s">
        <v>25</v>
      </c>
      <c r="C9" s="4" t="str">
        <f t="shared" si="1"/>
        <v>you’re such a loser, go away.</v>
      </c>
      <c r="D9" s="5" t="b">
        <f>IFERROR(__xludf.DUMMYFUNCTION("REGEXMATCH(C9, ""\b(idiot|loser|stupid|dumb|moron|jerk|trash|worthless|crybaby|weirdo|fool|lazy|ugly|nobody|pathetic|silly|annoying|ridiculous|losing|weak|lame|failure|idiotic|clown|jerkface|dummy|loserface)\b"")"),TRUE)</f>
        <v>1</v>
      </c>
      <c r="E9" s="5" t="b">
        <f>IFERROR(__xludf.DUMMYFUNCTION("REGEXMATCH(C9, ""\b(kill|i will kill|i'll kill|gonna kill|find you|make you pay|hurt you|beat you|stab you|shoot you|strangle you|choke you|punch you|kick you|destroy you|break your|break your phone|break your legs|end you|wipe you out|come after you|i'm "&amp;"coming for you|watch your back|attack you|i'll get you|i will get you|i'm gonna get you|send you to hell|threaten)\b"")"),FALSE)</f>
        <v>0</v>
      </c>
      <c r="F9" s="6">
        <f>IFERROR(__xludf.DUMMYFUNCTION("LEN(REGEXREPLACE(A9,""[^A-Z]"",""""))"),1.0)</f>
        <v>1</v>
      </c>
      <c r="G9" s="6">
        <f>IFERROR(__xludf.DUMMYFUNCTION("LEN(REGEXREPLACE(A9,""[^!]"",""""))"),0.0)</f>
        <v>0</v>
      </c>
      <c r="H9" s="5" t="b">
        <f>IFERROR(__xludf.DUMMYFUNCTION("REGEXMATCH("" "" &amp; REGEXREPLACE(LOWER(C9), ""[^a-z0-9 ]"", "" "") &amp; "" "", ""\b(fuck|shit|ass|bitch|bastard|bullshit|cunt|dick|hell|motherfucker|niger|f u|asshole)\b"")
"),FALSE)</f>
        <v>0</v>
      </c>
      <c r="I9" s="6">
        <f t="shared" si="2"/>
        <v>2</v>
      </c>
      <c r="J9" s="4" t="str">
        <f t="shared" si="3"/>
        <v>POSSIBLE</v>
      </c>
      <c r="K9" s="2" t="str">
        <f t="shared" si="4"/>
        <v>bully_word</v>
      </c>
      <c r="L9" s="2" t="s">
        <v>30</v>
      </c>
      <c r="M9" s="4" t="str">
        <f t="shared" si="5"/>
        <v>POSSIBLE</v>
      </c>
      <c r="N9" s="6">
        <f t="shared" si="6"/>
        <v>4</v>
      </c>
      <c r="O9" s="4" t="str">
        <f t="shared" si="7"/>
        <v>bully_word</v>
      </c>
      <c r="P9" s="2" t="s">
        <v>30</v>
      </c>
      <c r="Q9" s="7">
        <f t="shared" si="8"/>
        <v>0.993813623</v>
      </c>
      <c r="R9" s="4" t="str">
        <f t="shared" si="9"/>
        <v>POSSIBLE</v>
      </c>
      <c r="S9" s="6">
        <f t="shared" si="10"/>
        <v>4</v>
      </c>
      <c r="T9" s="4" t="str">
        <f>TRIM(
IF(D2," bully_word","") &amp;
IF(E2," threat","") &amp;
IF(F2&gt;4," ALL_CAPS","") &amp;
IF(G2&gt;=3," exclamations","") &amp;
IF(H2," profanity","")
)
</f>
        <v>bully_word</v>
      </c>
      <c r="U9" s="2" t="s">
        <v>30</v>
      </c>
      <c r="V9" s="2"/>
      <c r="W9" s="2"/>
      <c r="X9" s="2"/>
      <c r="Y9" s="2"/>
    </row>
    <row r="10">
      <c r="A10" s="2" t="s">
        <v>33</v>
      </c>
      <c r="B10" s="2" t="s">
        <v>34</v>
      </c>
      <c r="C10" s="4" t="s">
        <v>35</v>
      </c>
      <c r="D10" s="5" t="b">
        <f>IFERROR(__xludf.DUMMYFUNCTION("REGEXMATCH(C10, ""\b(idiot|loser|stupid|dumb|moron|jerk|trash|worthless|crybaby|weirdo|fool|lazy|ugly|nobody|pathetic|silly|annoying|ridiculous|losing|weak|lame|failure|idiotic|clown|jerkface|dummy|loserface)\b"")"),FALSE)</f>
        <v>0</v>
      </c>
      <c r="E10" s="5" t="b">
        <f>IFERROR(__xludf.DUMMYFUNCTION("REGEXMATCH(C10,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hell|threaten)\b"")"),TRUE)</f>
        <v>1</v>
      </c>
      <c r="F10" s="6">
        <f>IFERROR(__xludf.DUMMYFUNCTION("LEN(REGEXREPLACE(A10,""[^A-Z]"",""""))"),1.0)</f>
        <v>1</v>
      </c>
      <c r="G10" s="6">
        <f>IFERROR(__xludf.DUMMYFUNCTION("LEN(REGEXREPLACE(A10,""[^!]"",""""))"),1.0)</f>
        <v>1</v>
      </c>
      <c r="H10" s="5" t="b">
        <f>IFERROR(__xludf.DUMMYFUNCTION("REGEXMATCH("" "" &amp; REGEXREPLACE(LOWER(C10), ""[^a-z0-9 ]"", "" "") &amp; "" "", ""\b(fuck|shit|ass|bitch|bastard|bullshit|cunt|dick|hell|motherfucker|niger|f u|asshole)\b"")
"),FALSE)</f>
        <v>0</v>
      </c>
      <c r="I10" s="6">
        <f t="shared" ref="I10:I35" si="11"> (N(D10)*2) + (N(E10)*5) + IF(F10,2,0) + IF(G10&gt;=3,1,0) + (N(H10)*2)
</f>
        <v>7</v>
      </c>
      <c r="J10" s="4" t="str">
        <f t="shared" si="3"/>
        <v>BULLY</v>
      </c>
      <c r="K10" s="2" t="str">
        <f t="shared" si="4"/>
        <v>threat</v>
      </c>
      <c r="L10" s="2" t="s">
        <v>23</v>
      </c>
      <c r="M10" s="4" t="str">
        <f t="shared" si="5"/>
        <v>BULLY</v>
      </c>
      <c r="N10" s="6">
        <f t="shared" si="6"/>
        <v>7</v>
      </c>
      <c r="O10" s="4" t="str">
        <f t="shared" si="7"/>
        <v>threat</v>
      </c>
      <c r="P10" s="2" t="s">
        <v>23</v>
      </c>
      <c r="Q10" s="7">
        <f t="shared" si="8"/>
        <v>0.3998457592</v>
      </c>
      <c r="R10" s="4" t="str">
        <f t="shared" si="9"/>
        <v>BULLY</v>
      </c>
      <c r="S10" s="6">
        <f t="shared" si="10"/>
        <v>7</v>
      </c>
      <c r="T10" s="2"/>
      <c r="U10" s="2" t="s">
        <v>23</v>
      </c>
      <c r="V10" s="2"/>
      <c r="W10" s="2"/>
      <c r="X10" s="2"/>
      <c r="Y10" s="2"/>
    </row>
    <row r="11">
      <c r="A11" s="2" t="s">
        <v>36</v>
      </c>
      <c r="B11" s="2" t="s">
        <v>25</v>
      </c>
      <c r="C11" s="4" t="str">
        <f t="shared" ref="C11:C35" si="12">LOWER(A11)</f>
        <v>nobody wants you here!</v>
      </c>
      <c r="D11" s="5" t="b">
        <f>IFERROR(__xludf.DUMMYFUNCTION("REGEXMATCH(C11, ""\b(idiot|loser|stupid|dumb|moron|jerk|trash|worthless|crybaby|weirdo|fool|lazy|ugly|nobody|pathetic|silly|annoying|ridiculous|losing|weak|lame|failure|idiotic|clown|jerkface|dummy|loserface)\b"")"),TRUE)</f>
        <v>1</v>
      </c>
      <c r="E11" s="5" t="b">
        <f>IFERROR(__xludf.DUMMYFUNCTION("REGEXMATCH(C11,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hell|threaten)\b"")"),FALSE)</f>
        <v>0</v>
      </c>
      <c r="F11" s="6">
        <f>IFERROR(__xludf.DUMMYFUNCTION("LEN(REGEXREPLACE(A11,""[^A-Z]"",""""))"),1.0)</f>
        <v>1</v>
      </c>
      <c r="G11" s="6">
        <f>IFERROR(__xludf.DUMMYFUNCTION("LEN(REGEXREPLACE(A10,""[^!]"",""""))"),1.0)</f>
        <v>1</v>
      </c>
      <c r="H11" s="5" t="b">
        <f>IFERROR(__xludf.DUMMYFUNCTION("REGEXMATCH("" "" &amp; REGEXREPLACE(LOWER(C11), ""[^a-z0-9 ]"", "" "") &amp; "" "", ""\b(fuck|shit|ass|bitch|bastard|bullshit|cunt|dick|hell|motherfucker|niger|f u|asshole)\b"")
"),FALSE)</f>
        <v>0</v>
      </c>
      <c r="I11" s="6">
        <f t="shared" si="11"/>
        <v>4</v>
      </c>
      <c r="J11" s="4" t="str">
        <f t="shared" si="3"/>
        <v>POSSIBLE</v>
      </c>
      <c r="K11" s="2" t="str">
        <f t="shared" si="4"/>
        <v>bully_word</v>
      </c>
      <c r="L11" s="2" t="s">
        <v>30</v>
      </c>
      <c r="M11" s="4" t="str">
        <f t="shared" si="5"/>
        <v>POSSIBLE</v>
      </c>
      <c r="N11" s="6">
        <f t="shared" si="6"/>
        <v>4</v>
      </c>
      <c r="O11" s="4" t="str">
        <f t="shared" si="7"/>
        <v>bully_word</v>
      </c>
      <c r="P11" s="2" t="s">
        <v>30</v>
      </c>
      <c r="Q11" s="7">
        <f t="shared" si="8"/>
        <v>0.9358567053</v>
      </c>
      <c r="R11" s="4" t="str">
        <f t="shared" si="9"/>
        <v>POSSIBLE</v>
      </c>
      <c r="S11" s="6">
        <f t="shared" si="10"/>
        <v>4</v>
      </c>
      <c r="T11" s="4" t="str">
        <f>TRIM(
IF(D2," bully_word","") &amp;
IF(E2," threat","") &amp;
IF(F2&gt;4," ALL_CAPS","") &amp;
IF(G2&gt;=3," exclamations","") &amp;
IF(H2," profanity","")
)
</f>
        <v>bully_word</v>
      </c>
      <c r="U11" s="2" t="s">
        <v>30</v>
      </c>
      <c r="V11" s="2"/>
      <c r="W11" s="2"/>
      <c r="X11" s="2"/>
      <c r="Y11" s="2"/>
    </row>
    <row r="12">
      <c r="A12" s="2" t="s">
        <v>37</v>
      </c>
      <c r="B12" s="2" t="s">
        <v>25</v>
      </c>
      <c r="C12" s="4" t="str">
        <f t="shared" si="12"/>
        <v>you're disgusting</v>
      </c>
      <c r="D12" s="5" t="b">
        <f>IFERROR(__xludf.DUMMYFUNCTION("REGEXMATCH(C12, ""\b(idiot|loser|stupid|dumb|moron|jerk|trash|worthless|crybaby|weirdo|fool|lazy|ugly|nobody|pathetic|silly|annoying|ridiculous|losing|weak|lame|failure|idiotic|clown|jerkface|dummy|loserface)\b"")"),FALSE)</f>
        <v>0</v>
      </c>
      <c r="E12" s="5" t="b">
        <f>IFERROR(__xludf.DUMMYFUNCTION("REGEXMATCH(C12,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hell|threaten)\b"")"),FALSE)</f>
        <v>0</v>
      </c>
      <c r="F12" s="6">
        <f>IFERROR(__xludf.DUMMYFUNCTION("LEN(REGEXREPLACE(A12,""[^A-Z]"",""""))"),0.0)</f>
        <v>0</v>
      </c>
      <c r="G12" s="6">
        <f>IFERROR(__xludf.DUMMYFUNCTION("LEN(REGEXREPLACE(A12,""[^!]"",""""))"),0.0)</f>
        <v>0</v>
      </c>
      <c r="H12" s="5" t="b">
        <f>IFERROR(__xludf.DUMMYFUNCTION("REGEXMATCH("" "" &amp; REGEXREPLACE(LOWER(C12), ""[^a-z0-9 ]"", "" "") &amp; "" "", ""\b(fuck|shit|ass|bitch|bastard|bullshit|cunt|dick|hell|motherfucker|niger|f u|asshole)\b"")
"),FALSE)</f>
        <v>0</v>
      </c>
      <c r="I12" s="6">
        <f t="shared" si="11"/>
        <v>0</v>
      </c>
      <c r="J12" s="4" t="str">
        <f t="shared" si="3"/>
        <v>NOT BULLY</v>
      </c>
      <c r="K12" s="2" t="str">
        <f t="shared" si="4"/>
        <v/>
      </c>
      <c r="L12" s="2" t="s">
        <v>23</v>
      </c>
      <c r="M12" s="4" t="str">
        <f t="shared" si="5"/>
        <v>NOT BULLY</v>
      </c>
      <c r="N12" s="6">
        <f t="shared" si="6"/>
        <v>0</v>
      </c>
      <c r="O12" s="2" t="str">
        <f t="shared" si="7"/>
        <v/>
      </c>
      <c r="P12" s="2" t="s">
        <v>23</v>
      </c>
      <c r="Q12" s="7">
        <f t="shared" si="8"/>
        <v>0.09742314862</v>
      </c>
      <c r="R12" s="4" t="str">
        <f t="shared" si="9"/>
        <v>NOT BULLY</v>
      </c>
      <c r="S12" s="6">
        <f t="shared" si="10"/>
        <v>0</v>
      </c>
      <c r="T12" s="2"/>
      <c r="U12" s="2" t="s">
        <v>23</v>
      </c>
      <c r="V12" s="2"/>
      <c r="W12" s="2"/>
      <c r="X12" s="2"/>
      <c r="Y12" s="2"/>
    </row>
    <row r="13">
      <c r="A13" s="2" t="s">
        <v>38</v>
      </c>
      <c r="B13" s="2" t="s">
        <v>25</v>
      </c>
      <c r="C13" s="4" t="str">
        <f t="shared" si="12"/>
        <v>youre so chopped</v>
      </c>
      <c r="D13" s="5" t="b">
        <f>IFERROR(__xludf.DUMMYFUNCTION("REGEXMATCH(C13, ""\b(idiot|loser|stupid|dumb|moron|jerk|trash|worthless|crybaby|weirdo|fool|lazy|ugly|nobody|pathetic|silly|annoying|ridiculous|losing|weak|lame|failure|idiotic|clown|jerkface|dummy|loserface)\b"")"),FALSE)</f>
        <v>0</v>
      </c>
      <c r="E13" s="5" t="b">
        <f>IFERROR(__xludf.DUMMYFUNCTION("REGEXMATCH(C13,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hell|threaten)\b"")"),FALSE)</f>
        <v>0</v>
      </c>
      <c r="F13" s="6">
        <f>IFERROR(__xludf.DUMMYFUNCTION("LEN(REGEXREPLACE(A13,""[^A-Z]"",""""))"),0.0)</f>
        <v>0</v>
      </c>
      <c r="G13" s="6">
        <f>IFERROR(__xludf.DUMMYFUNCTION("LEN(REGEXREPLACE(A13,""[^!]"",""""))"),0.0)</f>
        <v>0</v>
      </c>
      <c r="H13" s="5" t="b">
        <f>IFERROR(__xludf.DUMMYFUNCTION("REGEXMATCH("" "" &amp; REGEXREPLACE(LOWER(C13), ""[^a-z0-9 ]"", "" "") &amp; "" "", ""\b(fuck|shit|ass|bitch|bastard|bullshit|cunt|dick|hell|motherfucker|niger|f u|asshole)\b"")
"),FALSE)</f>
        <v>0</v>
      </c>
      <c r="I13" s="6">
        <f t="shared" si="11"/>
        <v>0</v>
      </c>
      <c r="J13" s="4" t="str">
        <f t="shared" si="3"/>
        <v>NOT BULLY</v>
      </c>
      <c r="K13" s="2" t="str">
        <f t="shared" si="4"/>
        <v/>
      </c>
      <c r="L13" s="2" t="s">
        <v>23</v>
      </c>
      <c r="M13" s="4" t="str">
        <f t="shared" si="5"/>
        <v>NOT BULLY</v>
      </c>
      <c r="N13" s="6">
        <f t="shared" si="6"/>
        <v>0</v>
      </c>
      <c r="O13" s="2" t="str">
        <f t="shared" si="7"/>
        <v/>
      </c>
      <c r="P13" s="2" t="s">
        <v>23</v>
      </c>
      <c r="Q13" s="7">
        <f t="shared" si="8"/>
        <v>0.8669945561</v>
      </c>
      <c r="R13" s="4" t="str">
        <f t="shared" si="9"/>
        <v>NOT BULLY</v>
      </c>
      <c r="S13" s="6">
        <f t="shared" si="10"/>
        <v>0</v>
      </c>
      <c r="T13" s="2"/>
      <c r="U13" s="2" t="s">
        <v>23</v>
      </c>
      <c r="V13" s="2"/>
      <c r="W13" s="2"/>
      <c r="X13" s="2"/>
      <c r="Y13" s="2"/>
    </row>
    <row r="14">
      <c r="A14" s="2" t="s">
        <v>39</v>
      </c>
      <c r="B14" s="2" t="s">
        <v>34</v>
      </c>
      <c r="C14" s="4" t="str">
        <f t="shared" si="12"/>
        <v>youre cute</v>
      </c>
      <c r="D14" s="5" t="b">
        <f>IFERROR(__xludf.DUMMYFUNCTION("REGEXMATCH(C14, ""\b(idiot|loser|stupid|dumb|moron|jerk|trash|worthless|crybaby|weirdo|fool|lazy|ugly|nobody|pathetic|silly|annoying|ridiculous|losing|weak|lame|failure|idiotic|clown|jerkface|dummy|loserface)\b"")"),FALSE)</f>
        <v>0</v>
      </c>
      <c r="E14" s="5" t="b">
        <f>IFERROR(__xludf.DUMMYFUNCTION("REGEXMATCH(C14,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hell|threaten)\b"")"),FALSE)</f>
        <v>0</v>
      </c>
      <c r="F14" s="6">
        <f>IFERROR(__xludf.DUMMYFUNCTION("LEN(REGEXREPLACE(A14,""[^A-Z]"",""""))"),0.0)</f>
        <v>0</v>
      </c>
      <c r="G14" s="6">
        <f>IFERROR(__xludf.DUMMYFUNCTION("LEN(REGEXREPLACE(A14,""[^!]"",""""))"),0.0)</f>
        <v>0</v>
      </c>
      <c r="H14" s="5" t="b">
        <f>IFERROR(__xludf.DUMMYFUNCTION("REGEXMATCH("" "" &amp; REGEXREPLACE(LOWER(C14), ""[^a-z0-9 ]"", "" "") &amp; "" "", ""\b(fuck|shit|ass|bitch|bastard|bullshit|cunt|dick|hell|motherfucker|niger|f u|asshole)\b"")
"),FALSE)</f>
        <v>0</v>
      </c>
      <c r="I14" s="6">
        <f t="shared" si="11"/>
        <v>0</v>
      </c>
      <c r="J14" s="4" t="str">
        <f t="shared" si="3"/>
        <v>NOT BULLY</v>
      </c>
      <c r="K14" s="2" t="str">
        <f t="shared" si="4"/>
        <v/>
      </c>
      <c r="L14" s="2" t="s">
        <v>30</v>
      </c>
      <c r="M14" s="4" t="str">
        <f t="shared" si="5"/>
        <v>NOT BULLY</v>
      </c>
      <c r="N14" s="6">
        <f t="shared" si="6"/>
        <v>0</v>
      </c>
      <c r="O14" s="2" t="str">
        <f t="shared" si="7"/>
        <v/>
      </c>
      <c r="P14" s="2" t="s">
        <v>30</v>
      </c>
      <c r="Q14" s="7">
        <f t="shared" si="8"/>
        <v>0.8104355963</v>
      </c>
      <c r="R14" s="4" t="str">
        <f t="shared" si="9"/>
        <v>NOT BULLY</v>
      </c>
      <c r="S14" s="6">
        <f t="shared" si="10"/>
        <v>0</v>
      </c>
      <c r="T14" s="2"/>
      <c r="U14" s="2" t="s">
        <v>30</v>
      </c>
      <c r="V14" s="2"/>
      <c r="W14" s="2"/>
      <c r="X14" s="2"/>
      <c r="Y14" s="2"/>
    </row>
    <row r="15">
      <c r="A15" s="2" t="s">
        <v>40</v>
      </c>
      <c r="B15" s="2" t="s">
        <v>22</v>
      </c>
      <c r="C15" s="4" t="str">
        <f t="shared" si="12"/>
        <v>you can't pull anyone</v>
      </c>
      <c r="D15" s="5" t="b">
        <f>IFERROR(__xludf.DUMMYFUNCTION("REGEXMATCH(C15, ""\b(idiot|loser|stupid|dumb|moron|jerk|trash|worthless|crybaby|weirdo|fool|lazy|ugly|nobody|pathetic|silly|annoying|ridiculous|losing|weak|lame|failure|idiotic|clown|jerkface|dummy|loserface)\b"")"),FALSE)</f>
        <v>0</v>
      </c>
      <c r="E15" s="5" t="b">
        <f>IFERROR(__xludf.DUMMYFUNCTION("REGEXMATCH(C15,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hell|threaten)\b"")"),FALSE)</f>
        <v>0</v>
      </c>
      <c r="F15" s="6">
        <f>IFERROR(__xludf.DUMMYFUNCTION("LEN(REGEXREPLACE(A15,""[^A-Z]"",""""))"),0.0)</f>
        <v>0</v>
      </c>
      <c r="G15" s="6">
        <f>IFERROR(__xludf.DUMMYFUNCTION("LEN(REGEXREPLACE(A15,""[^!]"",""""))"),0.0)</f>
        <v>0</v>
      </c>
      <c r="H15" s="5" t="b">
        <f>IFERROR(__xludf.DUMMYFUNCTION("REGEXMATCH("" "" &amp; REGEXREPLACE(LOWER(C15), ""[^a-z0-9 ]"", "" "") &amp; "" "", ""\b(fuck|shit|ass|bitch|bastard|bullshit|cunt|dick|hell|motherfucker|niger|f u|asshole)\b"")
"),FALSE)</f>
        <v>0</v>
      </c>
      <c r="I15" s="6">
        <f t="shared" si="11"/>
        <v>0</v>
      </c>
      <c r="J15" s="4" t="str">
        <f t="shared" si="3"/>
        <v>NOT BULLY</v>
      </c>
      <c r="K15" s="2" t="str">
        <f t="shared" si="4"/>
        <v/>
      </c>
      <c r="L15" s="2" t="s">
        <v>30</v>
      </c>
      <c r="M15" s="4" t="str">
        <f t="shared" si="5"/>
        <v>NOT BULLY</v>
      </c>
      <c r="N15" s="6">
        <f t="shared" si="6"/>
        <v>0</v>
      </c>
      <c r="O15" s="2" t="str">
        <f t="shared" si="7"/>
        <v/>
      </c>
      <c r="P15" s="2" t="s">
        <v>30</v>
      </c>
      <c r="Q15" s="7">
        <f t="shared" si="8"/>
        <v>0.5244703997</v>
      </c>
      <c r="R15" s="4" t="str">
        <f t="shared" si="9"/>
        <v>NOT BULLY</v>
      </c>
      <c r="S15" s="6">
        <f t="shared" si="10"/>
        <v>0</v>
      </c>
      <c r="T15" s="2"/>
      <c r="U15" s="2" t="s">
        <v>30</v>
      </c>
      <c r="V15" s="2"/>
      <c r="W15" s="2"/>
      <c r="X15" s="2"/>
      <c r="Y15" s="2"/>
    </row>
    <row r="16">
      <c r="A16" s="2" t="s">
        <v>41</v>
      </c>
      <c r="B16" s="2" t="s">
        <v>25</v>
      </c>
      <c r="C16" s="4" t="str">
        <f t="shared" si="12"/>
        <v>hurt you</v>
      </c>
      <c r="D16" s="5" t="b">
        <f>IFERROR(__xludf.DUMMYFUNCTION("REGEXMATCH(C16, ""\b(idiot|loser|stupid|dumb|moron|jerk|trash|worthless|crybaby|weirdo|fool|lazy|ugly|nobody|pathetic|silly|annoying|ridiculous|losing|weak|lame|failure|idiotic|clown|jerkface|dummy|loserface)\b"")"),FALSE)</f>
        <v>0</v>
      </c>
      <c r="E16" s="5" t="b">
        <f>IFERROR(__xludf.DUMMYFUNCTION("REGEXMATCH(C16,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hell|threaten)\b"")"),TRUE)</f>
        <v>1</v>
      </c>
      <c r="F16" s="6">
        <f>IFERROR(__xludf.DUMMYFUNCTION("LEN(REGEXREPLACE(A16,""[^A-Z]"",""""))"),0.0)</f>
        <v>0</v>
      </c>
      <c r="G16" s="6">
        <f>IFERROR(__xludf.DUMMYFUNCTION("LEN(REGEXREPLACE(A16,""[^!]"",""""))"),0.0)</f>
        <v>0</v>
      </c>
      <c r="H16" s="5" t="b">
        <f>IFERROR(__xludf.DUMMYFUNCTION("REGEXMATCH("" "" &amp; REGEXREPLACE(LOWER(C16), ""[^a-z0-9 ]"", "" "") &amp; "" "", ""\b(fuck|shit|ass|bitch|bastard|bullshit|cunt|dick|hell|motherfucker|niger|f u|asshole)\b"")
"),FALSE)</f>
        <v>0</v>
      </c>
      <c r="I16" s="6">
        <f t="shared" si="11"/>
        <v>5</v>
      </c>
      <c r="J16" s="4" t="str">
        <f t="shared" si="3"/>
        <v>BULLY</v>
      </c>
      <c r="K16" s="2" t="str">
        <f t="shared" si="4"/>
        <v>threat</v>
      </c>
      <c r="L16" s="2" t="s">
        <v>30</v>
      </c>
      <c r="M16" s="4" t="str">
        <f t="shared" si="5"/>
        <v>BULLY</v>
      </c>
      <c r="N16" s="6">
        <f t="shared" si="6"/>
        <v>5</v>
      </c>
      <c r="O16" s="4" t="str">
        <f t="shared" si="7"/>
        <v>threat</v>
      </c>
      <c r="P16" s="2" t="s">
        <v>30</v>
      </c>
      <c r="Q16" s="7">
        <f t="shared" si="8"/>
        <v>0.5854271045</v>
      </c>
      <c r="R16" s="4" t="str">
        <f t="shared" si="9"/>
        <v>BULLY</v>
      </c>
      <c r="S16" s="6">
        <f t="shared" si="10"/>
        <v>5</v>
      </c>
      <c r="T16" s="2" t="str">
        <f>TRIM(
IF(D16," bully_word","") &amp;
IF(E16," threat","") &amp;
IF(F16&gt;4," ALL_CAPS","") &amp;
IF(G16&gt;=3," exclamations","") &amp;
IF(H16," profanity","")
)
</f>
        <v>threat</v>
      </c>
      <c r="U16" s="2" t="s">
        <v>30</v>
      </c>
      <c r="V16" s="2"/>
      <c r="W16" s="2"/>
      <c r="X16" s="2"/>
      <c r="Y16" s="2"/>
    </row>
    <row r="17">
      <c r="A17" s="2" t="s">
        <v>42</v>
      </c>
      <c r="B17" s="2" t="s">
        <v>25</v>
      </c>
      <c r="C17" s="4" t="str">
        <f t="shared" si="12"/>
        <v>stalk you</v>
      </c>
      <c r="D17" s="5" t="b">
        <f>IFERROR(__xludf.DUMMYFUNCTION("REGEXMATCH(C17, ""\b(idiot|loser|stupid|dumb|moron|jerk|trash|worthless|crybaby|weirdo|fool|lazy|ugly|nobody|pathetic|silly|annoying|ridiculous|losing|weak|lame|failure|idiotic|clown|jerkface|dummy|loserface)\b"")"),FALSE)</f>
        <v>0</v>
      </c>
      <c r="E17" s="5" t="b">
        <f>IFERROR(__xludf.DUMMYFUNCTION("REGEXMATCH(C17,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you)\b"")"),TRUE)</f>
        <v>1</v>
      </c>
      <c r="F17" s="6">
        <f>IFERROR(__xludf.DUMMYFUNCTION("LEN(REGEXREPLACE(A17,""[^A-Z]"",""""))"),0.0)</f>
        <v>0</v>
      </c>
      <c r="G17" s="6">
        <f>IFERROR(__xludf.DUMMYFUNCTION("LEN(REGEXREPLACE(A17,""[^!]"",""""))"),0.0)</f>
        <v>0</v>
      </c>
      <c r="H17" s="5" t="b">
        <f>IFERROR(__xludf.DUMMYFUNCTION("REGEXMATCH("" "" &amp; REGEXREPLACE(LOWER(C17), ""[^a-z0-9 ]"", "" "") &amp; "" "", ""\b(fuck|shit|ass|bitch|bastard|bullshit|cunt|dick|hell|motherfucker|niger|f u|asshole)\b"")
"),FALSE)</f>
        <v>0</v>
      </c>
      <c r="I17" s="6">
        <f t="shared" si="11"/>
        <v>5</v>
      </c>
      <c r="J17" s="4" t="str">
        <f t="shared" si="3"/>
        <v>BULLY</v>
      </c>
      <c r="K17" s="2" t="str">
        <f t="shared" si="4"/>
        <v>threat</v>
      </c>
      <c r="L17" s="2" t="s">
        <v>30</v>
      </c>
      <c r="M17" s="4" t="str">
        <f t="shared" si="5"/>
        <v>BULLY</v>
      </c>
      <c r="N17" s="6">
        <f t="shared" si="6"/>
        <v>5</v>
      </c>
      <c r="O17" s="4" t="str">
        <f t="shared" si="7"/>
        <v>threat</v>
      </c>
      <c r="P17" s="2" t="s">
        <v>30</v>
      </c>
      <c r="Q17" s="7">
        <f t="shared" si="8"/>
        <v>0.665349537</v>
      </c>
      <c r="R17" s="4" t="str">
        <f t="shared" si="9"/>
        <v>BULLY</v>
      </c>
      <c r="S17" s="6">
        <f t="shared" si="10"/>
        <v>5</v>
      </c>
      <c r="T17" s="2" t="str">
        <f>TRIM(
IF(D16," bully_word","") &amp;
IF(E16," threat","") &amp;
IF(F16&gt;4," ALL_CAPS","") &amp;
IF(G16&gt;=3," exclamations","") &amp;
IF(H16," profanity","")
)
</f>
        <v>threat</v>
      </c>
      <c r="U17" s="2" t="s">
        <v>30</v>
      </c>
      <c r="V17" s="2"/>
      <c r="W17" s="2"/>
      <c r="X17" s="2"/>
      <c r="Y17" s="2"/>
    </row>
    <row r="18">
      <c r="A18" s="2" t="s">
        <v>43</v>
      </c>
      <c r="B18" s="2" t="s">
        <v>25</v>
      </c>
      <c r="C18" s="4" t="str">
        <f t="shared" si="12"/>
        <v>beat you</v>
      </c>
      <c r="D18" s="5" t="b">
        <f>IFERROR(__xludf.DUMMYFUNCTION("REGEXMATCH(C18, ""\b(idiot|loser|stupid|dumb|moron|jerk|trash|worthless|crybaby|weirdo|fool|lazy|ugly|nobody|pathetic|silly|annoying|ridiculous|losing|weak|lame|failure|idiotic|clown|jerkface|dummy|loserface)\b"")"),FALSE)</f>
        <v>0</v>
      </c>
      <c r="E18" s="5" t="b">
        <f>IFERROR(__xludf.DUMMYFUNCTION("REGEXMATCH(C18,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you)\b"")"),TRUE)</f>
        <v>1</v>
      </c>
      <c r="F18" s="6">
        <f>IFERROR(__xludf.DUMMYFUNCTION("LEN(REGEXREPLACE(A18,""[^A-Z]"",""""))"),0.0)</f>
        <v>0</v>
      </c>
      <c r="G18" s="6">
        <f>IFERROR(__xludf.DUMMYFUNCTION("LEN(REGEXREPLACE(A18,""[^!]"",""""))"),0.0)</f>
        <v>0</v>
      </c>
      <c r="H18" s="5" t="b">
        <f>IFERROR(__xludf.DUMMYFUNCTION("REGEXMATCH("" "" &amp; REGEXREPLACE(LOWER(C17), ""[^a-z0-9 ]"", "" "") &amp; "" "", ""\b(fuck|shit|ass|bitch|bastard|bullshit|cunt|dick|hell|motherfucker|niger|f u|asshole)\b"")
"),FALSE)</f>
        <v>0</v>
      </c>
      <c r="I18" s="6">
        <f t="shared" si="11"/>
        <v>5</v>
      </c>
      <c r="J18" s="4" t="str">
        <f t="shared" si="3"/>
        <v>BULLY</v>
      </c>
      <c r="K18" s="2" t="str">
        <f t="shared" si="4"/>
        <v>threat</v>
      </c>
      <c r="L18" s="2" t="s">
        <v>30</v>
      </c>
      <c r="M18" s="4" t="str">
        <f t="shared" si="5"/>
        <v>BULLY</v>
      </c>
      <c r="N18" s="6">
        <f t="shared" si="6"/>
        <v>5</v>
      </c>
      <c r="O18" s="4" t="str">
        <f t="shared" si="7"/>
        <v>threat</v>
      </c>
      <c r="P18" s="2" t="s">
        <v>30</v>
      </c>
      <c r="Q18" s="7">
        <f t="shared" si="8"/>
        <v>0.7086631809</v>
      </c>
      <c r="R18" s="4" t="str">
        <f t="shared" si="9"/>
        <v>BULLY</v>
      </c>
      <c r="S18" s="6">
        <f t="shared" si="10"/>
        <v>5</v>
      </c>
      <c r="T18" s="2" t="str">
        <f>TRIM(
IF(D16," bully_word","") &amp;
IF(E16," threat","") &amp;
IF(F16&gt;4," ALL_CAPS","") &amp;
IF(G16&gt;=3," exclamations","") &amp;
IF(H16," profanity","")
)
</f>
        <v>threat</v>
      </c>
      <c r="U18" s="2" t="s">
        <v>30</v>
      </c>
      <c r="V18" s="2"/>
      <c r="W18" s="2"/>
      <c r="X18" s="2"/>
      <c r="Y18" s="2"/>
    </row>
    <row r="19">
      <c r="A19" s="2" t="s">
        <v>35</v>
      </c>
      <c r="B19" s="2" t="s">
        <v>25</v>
      </c>
      <c r="C19" s="4" t="str">
        <f t="shared" si="12"/>
        <v>kill you</v>
      </c>
      <c r="D19" s="5" t="b">
        <f>IFERROR(__xludf.DUMMYFUNCTION("REGEXMATCH(C19, ""\b(idiot|loser|stupid|dumb|moron|jerk|trash|worthless|crybaby|weirdo|fool|lazy|ugly|nobody|pathetic|silly|annoying|ridiculous|losing|weak|lame|failure|idiotic|clown|jerkface|dummy|loserface)\b"")"),FALSE)</f>
        <v>0</v>
      </c>
      <c r="E19" s="5" t="b">
        <f>IFERROR(__xludf.DUMMYFUNCTION("REGEXMATCH(C19,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you)\b"")"),TRUE)</f>
        <v>1</v>
      </c>
      <c r="F19" s="6">
        <f>IFERROR(__xludf.DUMMYFUNCTION("LEN(REGEXREPLACE(A19,""[^A-Z]"",""""))"),0.0)</f>
        <v>0</v>
      </c>
      <c r="G19" s="6">
        <f>IFERROR(__xludf.DUMMYFUNCTION("LEN(REGEXREPLACE(A19,""[^!]"",""""))"),0.0)</f>
        <v>0</v>
      </c>
      <c r="H19" s="5" t="b">
        <f>IFERROR(__xludf.DUMMYFUNCTION("REGEXMATCH("" "" &amp; REGEXREPLACE(LOWER(C19), ""[^a-z0-9 ]"", "" "") &amp; "" "", ""\b(fuck|shit|ass|bitch|bastard|bullshit|cunt|dick|hell|motherfucker|niger|f u|asshole)\b"")
"),FALSE)</f>
        <v>0</v>
      </c>
      <c r="I19" s="6">
        <f t="shared" si="11"/>
        <v>5</v>
      </c>
      <c r="J19" s="4" t="str">
        <f t="shared" si="3"/>
        <v>BULLY</v>
      </c>
      <c r="K19" s="2" t="str">
        <f t="shared" si="4"/>
        <v>threat</v>
      </c>
      <c r="L19" s="2" t="s">
        <v>30</v>
      </c>
      <c r="M19" s="8" t="str">
        <f t="shared" si="5"/>
        <v>BULLY</v>
      </c>
      <c r="N19" s="6">
        <f t="shared" si="6"/>
        <v>5</v>
      </c>
      <c r="O19" s="4" t="str">
        <f t="shared" si="7"/>
        <v>threat</v>
      </c>
      <c r="P19" s="2" t="s">
        <v>30</v>
      </c>
      <c r="Q19" s="7">
        <f t="shared" si="8"/>
        <v>0.0558072362</v>
      </c>
      <c r="R19" s="4" t="str">
        <f t="shared" si="9"/>
        <v>BULLY</v>
      </c>
      <c r="S19" s="6">
        <f t="shared" si="10"/>
        <v>5</v>
      </c>
      <c r="T19" s="2" t="str">
        <f>TRIM(
IF(D16," bully_word","") &amp;
IF(E16," threat","") &amp;
IF(F16&gt;4," ALL_CAPS","") &amp;
IF(G16&gt;=3," exclamations","") &amp;
IF(H16," profanity","")
)
</f>
        <v>threat</v>
      </c>
      <c r="U19" s="2" t="s">
        <v>30</v>
      </c>
      <c r="V19" s="2"/>
      <c r="W19" s="2"/>
      <c r="X19" s="2"/>
      <c r="Y19" s="2"/>
    </row>
    <row r="20">
      <c r="A20" s="2" t="s">
        <v>44</v>
      </c>
      <c r="B20" s="2" t="s">
        <v>25</v>
      </c>
      <c r="C20" s="4" t="str">
        <f t="shared" si="12"/>
        <v>kys</v>
      </c>
      <c r="D20" s="5" t="b">
        <f>IFERROR(__xludf.DUMMYFUNCTION("REGEXMATCH(C20, ""\b(idiot|loser|stupid|dumb|moron|jerk|trash|worthless|crybaby|weirdo|fool|lazy|ugly|nobody|pathetic|silly|annoying|ridiculous|losing|weak|lame|failure|idiotic|clown|jerkface|dummy|loserface)\b"")"),FALSE)</f>
        <v>0</v>
      </c>
      <c r="E20" s="5" t="b">
        <f>IFERROR(__xludf.DUMMYFUNCTION("REGEXMATCH(C20,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0" s="6">
        <f>IFERROR(__xludf.DUMMYFUNCTION("LEN(REGEXREPLACE(A20,""[^A-Z]"",""""))"),0.0)</f>
        <v>0</v>
      </c>
      <c r="G20" s="6">
        <f>IFERROR(__xludf.DUMMYFUNCTION("LEN(REGEXREPLACE(A20,""[^!]"",""""))"),0.0)</f>
        <v>0</v>
      </c>
      <c r="H20" s="5" t="b">
        <f>IFERROR(__xludf.DUMMYFUNCTION("REGEXMATCH("" "" &amp; REGEXREPLACE(LOWER(C20), ""[^a-z0-9 ]"", "" "") &amp; "" "", ""\b(fuck|shit|ass|bitch|bastard|bullshit|cunt|dick|hell|motherfucker|niger|f u|asshole)\b"")
"),FALSE)</f>
        <v>0</v>
      </c>
      <c r="I20" s="6">
        <f t="shared" si="11"/>
        <v>0</v>
      </c>
      <c r="J20" s="4" t="str">
        <f t="shared" si="3"/>
        <v>NOT BULLY</v>
      </c>
      <c r="K20" s="2" t="str">
        <f t="shared" si="4"/>
        <v/>
      </c>
      <c r="L20" s="2" t="s">
        <v>23</v>
      </c>
      <c r="M20" s="4" t="str">
        <f t="shared" si="5"/>
        <v>NOT BULLY</v>
      </c>
      <c r="N20" s="6">
        <f t="shared" si="6"/>
        <v>0</v>
      </c>
      <c r="O20" s="2" t="str">
        <f t="shared" si="7"/>
        <v/>
      </c>
      <c r="P20" s="2" t="s">
        <v>23</v>
      </c>
      <c r="Q20" s="7">
        <f t="shared" si="8"/>
        <v>0.8128072921</v>
      </c>
      <c r="R20" s="4" t="str">
        <f t="shared" si="9"/>
        <v>NOT BULLY</v>
      </c>
      <c r="S20" s="6">
        <f t="shared" si="10"/>
        <v>0</v>
      </c>
      <c r="T20" s="2"/>
      <c r="U20" s="2" t="s">
        <v>23</v>
      </c>
      <c r="V20" s="2"/>
      <c r="W20" s="2"/>
      <c r="X20" s="2"/>
      <c r="Y20" s="2"/>
    </row>
    <row r="21">
      <c r="A21" s="2" t="s">
        <v>45</v>
      </c>
      <c r="B21" s="2" t="s">
        <v>25</v>
      </c>
      <c r="C21" s="4" t="str">
        <f t="shared" si="12"/>
        <v>stop existing</v>
      </c>
      <c r="D21" s="5" t="b">
        <f>IFERROR(__xludf.DUMMYFUNCTION("REGEXMATCH(C21, ""\b(idiot|loser|stupid|dumb|moron|jerk|trash|worthless|crybaby|weirdo|fool|lazy|ugly|nobody|pathetic|silly|annoying|ridiculous|losing|weak|lame|failure|idiotic|clown|jerkface|dummy|loserface)\b"")"),FALSE)</f>
        <v>0</v>
      </c>
      <c r="E21" s="5" t="b">
        <f>IFERROR(__xludf.DUMMYFUNCTION("REGEXMATCH(C21,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1" s="6">
        <f>IFERROR(__xludf.DUMMYFUNCTION("LEN(REGEXREPLACE(A20,""[^A-Z]"",""""))"),0.0)</f>
        <v>0</v>
      </c>
      <c r="G21" s="6">
        <f>IFERROR(__xludf.DUMMYFUNCTION("LEN(REGEXREPLACE(A21,""[^!]"",""""))"),0.0)</f>
        <v>0</v>
      </c>
      <c r="H21" s="5" t="b">
        <f>IFERROR(__xludf.DUMMYFUNCTION("REGEXMATCH("" "" &amp; REGEXREPLACE(LOWER(C21), ""[^a-z0-9 ]"", "" "") &amp; "" "", ""\b(fuck|shit|ass|bitch|bastard|bullshit|cunt|dick|hell|motherfucker|niger|f u|asshole)\b"")
"),FALSE)</f>
        <v>0</v>
      </c>
      <c r="I21" s="6">
        <f t="shared" si="11"/>
        <v>0</v>
      </c>
      <c r="J21" s="4" t="str">
        <f t="shared" si="3"/>
        <v>NOT BULLY</v>
      </c>
      <c r="K21" s="2" t="str">
        <f t="shared" si="4"/>
        <v/>
      </c>
      <c r="L21" s="2" t="s">
        <v>23</v>
      </c>
      <c r="M21" s="4" t="str">
        <f t="shared" si="5"/>
        <v>NOT BULLY</v>
      </c>
      <c r="N21" s="6">
        <f t="shared" si="6"/>
        <v>0</v>
      </c>
      <c r="O21" s="2" t="str">
        <f t="shared" si="7"/>
        <v/>
      </c>
      <c r="P21" s="2" t="s">
        <v>23</v>
      </c>
      <c r="Q21" s="7">
        <f t="shared" si="8"/>
        <v>0.465017607</v>
      </c>
      <c r="R21" s="4" t="str">
        <f t="shared" si="9"/>
        <v>NOT BULLY</v>
      </c>
      <c r="S21" s="6">
        <f t="shared" si="10"/>
        <v>0</v>
      </c>
      <c r="T21" s="2"/>
      <c r="U21" s="2" t="s">
        <v>23</v>
      </c>
      <c r="V21" s="2"/>
      <c r="W21" s="2"/>
      <c r="X21" s="2"/>
      <c r="Y21" s="2"/>
    </row>
    <row r="22">
      <c r="A22" s="2" t="s">
        <v>46</v>
      </c>
      <c r="B22" s="2" t="s">
        <v>25</v>
      </c>
      <c r="C22" s="4" t="str">
        <f t="shared" si="12"/>
        <v>stop living</v>
      </c>
      <c r="D22" s="5" t="b">
        <f>IFERROR(__xludf.DUMMYFUNCTION("REGEXMATCH(C22, ""\b(idiot|loser|stupid|dumb|moron|jerk|trash|worthless|crybaby|weirdo|fool|lazy|ugly|nobody|pathetic|silly|annoying|ridiculous|losing|weak|lame|failure|idiotic|clown|jerkface|dummy|loserface)\b"")"),FALSE)</f>
        <v>0</v>
      </c>
      <c r="E22" s="5" t="b">
        <f>IFERROR(__xludf.DUMMYFUNCTION("REGEXMATCH(C22,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2" s="6">
        <f>IFERROR(__xludf.DUMMYFUNCTION("LEN(REGEXREPLACE(A22,""[^A-Z]"",""""))"),0.0)</f>
        <v>0</v>
      </c>
      <c r="G22" s="6">
        <f>IFERROR(__xludf.DUMMYFUNCTION("LEN(REGEXREPLACE(A22,""[^!]"",""""))"),0.0)</f>
        <v>0</v>
      </c>
      <c r="H22" s="5" t="b">
        <f>IFERROR(__xludf.DUMMYFUNCTION("REGEXMATCH("" "" &amp; REGEXREPLACE(LOWER(C22), ""[^a-z0-9 ]"", "" "") &amp; "" "", ""\b(fuck|shit|ass|bitch|bastard|bullshit|cunt|dick|hell|motherfucker|niger|f u|asshole)\b"")
"),FALSE)</f>
        <v>0</v>
      </c>
      <c r="I22" s="6">
        <f t="shared" si="11"/>
        <v>0</v>
      </c>
      <c r="J22" s="4" t="str">
        <f t="shared" si="3"/>
        <v>NOT BULLY</v>
      </c>
      <c r="K22" s="2" t="str">
        <f t="shared" si="4"/>
        <v/>
      </c>
      <c r="L22" s="2" t="s">
        <v>23</v>
      </c>
      <c r="M22" s="4" t="str">
        <f t="shared" si="5"/>
        <v>NOT BULLY</v>
      </c>
      <c r="N22" s="6">
        <f t="shared" si="6"/>
        <v>0</v>
      </c>
      <c r="O22" s="2" t="str">
        <f t="shared" si="7"/>
        <v/>
      </c>
      <c r="P22" s="2" t="s">
        <v>23</v>
      </c>
      <c r="Q22" s="7">
        <f t="shared" si="8"/>
        <v>0.2135801717</v>
      </c>
      <c r="R22" s="4" t="str">
        <f t="shared" si="9"/>
        <v>NOT BULLY</v>
      </c>
      <c r="S22" s="6">
        <f t="shared" si="10"/>
        <v>0</v>
      </c>
      <c r="T22" s="2"/>
      <c r="U22" s="2" t="s">
        <v>23</v>
      </c>
      <c r="V22" s="2"/>
      <c r="W22" s="2"/>
      <c r="X22" s="2"/>
      <c r="Y22" s="2"/>
    </row>
    <row r="23">
      <c r="A23" s="2" t="s">
        <v>47</v>
      </c>
      <c r="B23" s="2" t="s">
        <v>25</v>
      </c>
      <c r="C23" s="4" t="str">
        <f t="shared" si="12"/>
        <v>i'm going to murder you!</v>
      </c>
      <c r="D23" s="5" t="b">
        <f>IFERROR(__xludf.DUMMYFUNCTION("REGEXMATCH(C23, ""\b(idiot|loser|stupid|dumb|moron|jerk|trash|worthless|crybaby|weirdo|fool|lazy|ugly|nobody|pathetic|silly|annoying|ridiculous|losing|weak|lame|failure|idiotic|clown|jerkface|dummy|loserface)\b"")"),FALSE)</f>
        <v>0</v>
      </c>
      <c r="E23" s="5" t="b">
        <f>IFERROR(__xludf.DUMMYFUNCTION("REGEXMATCH(C23,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3" s="6">
        <f>IFERROR(__xludf.DUMMYFUNCTION("LEN(REGEXREPLACE(A23,""[^A-Z]"",""""))"),0.0)</f>
        <v>0</v>
      </c>
      <c r="G23" s="6">
        <f>IFERROR(__xludf.DUMMYFUNCTION("LEN(REGEXREPLACE(A23,""[^!]"",""""))"),1.0)</f>
        <v>1</v>
      </c>
      <c r="H23" s="5" t="b">
        <f>IFERROR(__xludf.DUMMYFUNCTION("REGEXMATCH("" "" &amp; REGEXREPLACE(LOWER(C23), ""[^a-z0-9 ]"", "" "") &amp; "" "", ""\b(fuck|shit|ass|bitch|bastard|bullshit|cunt|dick|hell|motherfucker|niger|f u|asshole)\b"")
"),FALSE)</f>
        <v>0</v>
      </c>
      <c r="I23" s="6">
        <f t="shared" si="11"/>
        <v>0</v>
      </c>
      <c r="J23" s="4" t="str">
        <f t="shared" si="3"/>
        <v>NOT BULLY</v>
      </c>
      <c r="K23" s="2" t="str">
        <f t="shared" si="4"/>
        <v/>
      </c>
      <c r="L23" s="2" t="s">
        <v>23</v>
      </c>
      <c r="M23" s="4" t="str">
        <f t="shared" si="5"/>
        <v>NOT BULLY</v>
      </c>
      <c r="N23" s="6">
        <f t="shared" si="6"/>
        <v>0</v>
      </c>
      <c r="O23" s="2" t="str">
        <f t="shared" si="7"/>
        <v/>
      </c>
      <c r="P23" s="2" t="s">
        <v>23</v>
      </c>
      <c r="Q23" s="7">
        <f t="shared" si="8"/>
        <v>0.2819762348</v>
      </c>
      <c r="R23" s="4" t="str">
        <f t="shared" si="9"/>
        <v>NOT BULLY</v>
      </c>
      <c r="S23" s="6">
        <f t="shared" si="10"/>
        <v>0</v>
      </c>
      <c r="T23" s="2"/>
      <c r="U23" s="2" t="s">
        <v>23</v>
      </c>
      <c r="V23" s="2"/>
      <c r="W23" s="2"/>
      <c r="X23" s="2"/>
      <c r="Y23" s="2"/>
    </row>
    <row r="24">
      <c r="A24" s="2" t="s">
        <v>48</v>
      </c>
      <c r="B24" s="2" t="s">
        <v>25</v>
      </c>
      <c r="C24" s="4" t="str">
        <f t="shared" si="12"/>
        <v>shut up!</v>
      </c>
      <c r="D24" s="5" t="b">
        <f>IFERROR(__xludf.DUMMYFUNCTION("REGEXMATCH(C24, ""\b(idiot|loser|stupid|dumb|moron|jerk|trash|worthless|crybaby|weirdo|fool|lazy|ugly|nobody|pathetic|silly|annoying|ridiculous|losing|weak|lame|failure|idiotic|clown|jerkface|dummy|loserface)\b"")"),FALSE)</f>
        <v>0</v>
      </c>
      <c r="E24" s="5" t="b">
        <f>IFERROR(__xludf.DUMMYFUNCTION("REGEXMATCH(C24,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4" s="6">
        <f>IFERROR(__xludf.DUMMYFUNCTION("LEN(REGEXREPLACE(A24,""[^A-Z]"",""""))"),6.0)</f>
        <v>6</v>
      </c>
      <c r="G24" s="6">
        <f>IFERROR(__xludf.DUMMYFUNCTION("LEN(REGEXREPLACE(A24,""[^!]"",""""))"),1.0)</f>
        <v>1</v>
      </c>
      <c r="H24" s="5" t="b">
        <f>IFERROR(__xludf.DUMMYFUNCTION("REGEXMATCH("" "" &amp; REGEXREPLACE(LOWER(C24), ""[^a-z0-9 ]"", "" "") &amp; "" "", ""\b(fuck|shit|ass|bitch|bastard|bullshit|cunt|dick|hell|motherfucker|niger|f u|asshole)\b"")
"),FALSE)</f>
        <v>0</v>
      </c>
      <c r="I24" s="6">
        <f t="shared" si="11"/>
        <v>2</v>
      </c>
      <c r="J24" s="4" t="str">
        <f t="shared" si="3"/>
        <v>POSSIBLE</v>
      </c>
      <c r="K24" s="2" t="str">
        <f t="shared" si="4"/>
        <v>ALL_CAPS</v>
      </c>
      <c r="L24" s="2" t="s">
        <v>30</v>
      </c>
      <c r="M24" s="4" t="str">
        <f t="shared" si="5"/>
        <v>POSSIBLE</v>
      </c>
      <c r="N24" s="6">
        <f t="shared" si="6"/>
        <v>2</v>
      </c>
      <c r="O24" s="4" t="str">
        <f t="shared" si="7"/>
        <v>ALL_CAPS</v>
      </c>
      <c r="P24" s="2" t="s">
        <v>30</v>
      </c>
      <c r="Q24" s="7">
        <f t="shared" si="8"/>
        <v>0.8341166391</v>
      </c>
      <c r="R24" s="4" t="str">
        <f t="shared" si="9"/>
        <v>POSSIBLE</v>
      </c>
      <c r="S24" s="6">
        <f t="shared" si="10"/>
        <v>2</v>
      </c>
      <c r="T24" s="2" t="str">
        <f t="shared" ref="T24:T28" si="13">TRIM(
IF(D24," bully_word","") &amp;
IF(E24," threat","") &amp;
IF(F24&gt;4," ALL_CAPS","") &amp;
IF(G24&gt;=3," exclamations","") &amp;
IF(H24," profanity","")
)
</f>
        <v>ALL_CAPS</v>
      </c>
      <c r="U24" s="2" t="s">
        <v>30</v>
      </c>
      <c r="V24" s="2"/>
      <c r="W24" s="2"/>
      <c r="X24" s="2"/>
      <c r="Y24" s="2"/>
    </row>
    <row r="25">
      <c r="A25" s="2" t="s">
        <v>49</v>
      </c>
      <c r="B25" s="2" t="s">
        <v>25</v>
      </c>
      <c r="C25" s="4" t="str">
        <f t="shared" si="12"/>
        <v>your so ugly!!!</v>
      </c>
      <c r="D25" s="5" t="b">
        <f>IFERROR(__xludf.DUMMYFUNCTION("REGEXMATCH(C25, ""\b(idiot|loser|stupid|dumb|moron|jerk|trash|worthless|crybaby|weirdo|fool|lazy|ugly|nobody|pathetic|silly|annoying|ridiculous|losing|weak|lame|failure|idiotic|clown|jerkface|dummy|loserface)\b"")"),TRUE)</f>
        <v>1</v>
      </c>
      <c r="E25" s="5" t="b">
        <f>IFERROR(__xludf.DUMMYFUNCTION("REGEXMATCH(C25,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5" s="6">
        <f>IFERROR(__xludf.DUMMYFUNCTION("LEN(REGEXREPLACE(A25,""[^A-Z]"",""""))"),10.0)</f>
        <v>10</v>
      </c>
      <c r="G25" s="6">
        <f>IFERROR(__xludf.DUMMYFUNCTION("LEN(REGEXREPLACE(A25,""[^!]"",""""))"),3.0)</f>
        <v>3</v>
      </c>
      <c r="H25" s="5" t="b">
        <f>IFERROR(__xludf.DUMMYFUNCTION("REGEXMATCH("" "" &amp; REGEXREPLACE(LOWER(C25), ""[^a-z0-9 ]"", "" "") &amp; "" "", ""\b(fuck|shit|ass|bitch|bastard|bullshit|cunt|dick|hell|motherfucker|niger|f u|asshole)\b"")
"),FALSE)</f>
        <v>0</v>
      </c>
      <c r="I25" s="6">
        <f t="shared" si="11"/>
        <v>5</v>
      </c>
      <c r="J25" s="4" t="str">
        <f t="shared" si="3"/>
        <v>BULLY</v>
      </c>
      <c r="K25" s="2" t="str">
        <f t="shared" si="4"/>
        <v>bully_word ALL_CAPS exclamations</v>
      </c>
      <c r="L25" s="2" t="s">
        <v>30</v>
      </c>
      <c r="M25" s="4" t="str">
        <f t="shared" si="5"/>
        <v>BULLY</v>
      </c>
      <c r="N25" s="6">
        <f t="shared" si="6"/>
        <v>5</v>
      </c>
      <c r="O25" s="4" t="str">
        <f t="shared" si="7"/>
        <v>bully_word ALL_CAPS exclamations</v>
      </c>
      <c r="P25" s="2" t="s">
        <v>30</v>
      </c>
      <c r="Q25" s="7">
        <f t="shared" si="8"/>
        <v>0.5654425671</v>
      </c>
      <c r="R25" s="4" t="str">
        <f t="shared" si="9"/>
        <v>BULLY</v>
      </c>
      <c r="S25" s="6">
        <f t="shared" si="10"/>
        <v>5</v>
      </c>
      <c r="T25" s="2" t="str">
        <f t="shared" si="13"/>
        <v>bully_word ALL_CAPS exclamations</v>
      </c>
      <c r="U25" s="2" t="s">
        <v>30</v>
      </c>
      <c r="V25" s="2"/>
      <c r="W25" s="2"/>
      <c r="X25" s="2"/>
      <c r="Y25" s="2"/>
    </row>
    <row r="26">
      <c r="A26" s="2" t="s">
        <v>50</v>
      </c>
      <c r="B26" s="2" t="s">
        <v>25</v>
      </c>
      <c r="C26" s="4" t="str">
        <f t="shared" si="12"/>
        <v>your such a loser!</v>
      </c>
      <c r="D26" s="5" t="b">
        <f>IFERROR(__xludf.DUMMYFUNCTION("REGEXMATCH(C26, ""\b(idiot|loser|stupid|dumb|moron|jerk|trash|worthless|crybaby|weirdo|fool|lazy|ugly|nobody|pathetic|silly|annoying|ridiculous|losing|weak|lame|failure|idiotic|clown|jerkface|dummy|loserface)\b"")"),TRUE)</f>
        <v>1</v>
      </c>
      <c r="E26" s="5" t="b">
        <f>IFERROR(__xludf.DUMMYFUNCTION("REGEXMATCH(C26,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6" s="6">
        <f>IFERROR(__xludf.DUMMYFUNCTION("LEN(REGEXREPLACE(A26,""[^A-Z]"",""""))"),14.0)</f>
        <v>14</v>
      </c>
      <c r="G26" s="6">
        <f>IFERROR(__xludf.DUMMYFUNCTION("LEN(REGEXREPLACE(A26,""[^!]"",""""))"),1.0)</f>
        <v>1</v>
      </c>
      <c r="H26" s="5" t="b">
        <f>IFERROR(__xludf.DUMMYFUNCTION("REGEXMATCH("" "" &amp; REGEXREPLACE(LOWER(C26), ""[^a-z0-9 ]"", "" "") &amp; "" "", ""\b(fuck|shit|ass|bitch|bastard|bullshit|cunt|dick|hell|motherfucker|niger|f u|asshole)\b"")
"),FALSE)</f>
        <v>0</v>
      </c>
      <c r="I26" s="6">
        <f t="shared" si="11"/>
        <v>4</v>
      </c>
      <c r="J26" s="4" t="str">
        <f t="shared" si="3"/>
        <v>POSSIBLE</v>
      </c>
      <c r="K26" s="2" t="str">
        <f t="shared" si="4"/>
        <v>bully_word ALL_CAPS</v>
      </c>
      <c r="L26" s="2" t="s">
        <v>30</v>
      </c>
      <c r="M26" s="4" t="str">
        <f t="shared" si="5"/>
        <v>POSSIBLE</v>
      </c>
      <c r="N26" s="6">
        <f t="shared" si="6"/>
        <v>4</v>
      </c>
      <c r="O26" s="4" t="str">
        <f t="shared" si="7"/>
        <v>bully_word ALL_CAPS</v>
      </c>
      <c r="P26" s="2" t="s">
        <v>30</v>
      </c>
      <c r="Q26" s="7">
        <f t="shared" si="8"/>
        <v>0.3618332257</v>
      </c>
      <c r="R26" s="4" t="str">
        <f t="shared" si="9"/>
        <v>POSSIBLE</v>
      </c>
      <c r="S26" s="6">
        <f t="shared" si="10"/>
        <v>4</v>
      </c>
      <c r="T26" s="2" t="str">
        <f t="shared" si="13"/>
        <v>bully_word ALL_CAPS</v>
      </c>
      <c r="U26" s="2" t="s">
        <v>30</v>
      </c>
      <c r="V26" s="2"/>
      <c r="W26" s="2"/>
      <c r="X26" s="2"/>
      <c r="Y26" s="2"/>
    </row>
    <row r="27">
      <c r="A27" s="2" t="s">
        <v>51</v>
      </c>
      <c r="B27" s="2" t="s">
        <v>25</v>
      </c>
      <c r="C27" s="4" t="str">
        <f t="shared" si="12"/>
        <v>im gonna beat you!</v>
      </c>
      <c r="D27" s="5" t="b">
        <f>IFERROR(__xludf.DUMMYFUNCTION("REGEXMATCH(C27, ""\b(idiot|loser|stupid|dumb|moron|jerk|trash|worthless|crybaby|weirdo|fool|lazy|ugly|nobody|pathetic|silly|annoying|ridiculous|losing|weak|lame|failure|idiotic|clown|jerkface|dummy|loserface)\b"")"),FALSE)</f>
        <v>0</v>
      </c>
      <c r="E27" s="5" t="b">
        <f>IFERROR(__xludf.DUMMYFUNCTION("REGEXMATCH(C27,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you)\b"")"),TRUE)</f>
        <v>1</v>
      </c>
      <c r="F27" s="6">
        <f>IFERROR(__xludf.DUMMYFUNCTION("LEN(REGEXREPLACE(A27,""[^A-Z]"",""""))"),14.0)</f>
        <v>14</v>
      </c>
      <c r="G27" s="6">
        <f>IFERROR(__xludf.DUMMYFUNCTION("LEN(REGEXREPLACE(A27,""[^!]"",""""))"),1.0)</f>
        <v>1</v>
      </c>
      <c r="H27" s="5" t="b">
        <f>IFERROR(__xludf.DUMMYFUNCTION("REGEXMATCH("" "" &amp; REGEXREPLACE(LOWER(C27), ""[^a-z0-9 ]"", "" "") &amp; "" "", ""\b(fuck|shit|ass|bitch|bastard|bullshit|cunt|dick|hell|motherfucker|niger|f u|asshole)\b"")
"),FALSE)</f>
        <v>0</v>
      </c>
      <c r="I27" s="6">
        <f t="shared" si="11"/>
        <v>7</v>
      </c>
      <c r="J27" s="4" t="str">
        <f t="shared" si="3"/>
        <v>BULLY</v>
      </c>
      <c r="K27" s="2" t="str">
        <f t="shared" si="4"/>
        <v>threat ALL_CAPS</v>
      </c>
      <c r="L27" s="2" t="s">
        <v>30</v>
      </c>
      <c r="M27" s="4" t="str">
        <f t="shared" si="5"/>
        <v>BULLY</v>
      </c>
      <c r="N27" s="6">
        <f t="shared" si="6"/>
        <v>7</v>
      </c>
      <c r="O27" s="4" t="str">
        <f t="shared" si="7"/>
        <v>threat ALL_CAPS</v>
      </c>
      <c r="P27" s="2" t="s">
        <v>30</v>
      </c>
      <c r="Q27" s="7">
        <f t="shared" si="8"/>
        <v>0.4531733748</v>
      </c>
      <c r="R27" s="4" t="str">
        <f t="shared" si="9"/>
        <v>BULLY</v>
      </c>
      <c r="S27" s="6">
        <f t="shared" si="10"/>
        <v>7</v>
      </c>
      <c r="T27" s="2" t="str">
        <f t="shared" si="13"/>
        <v>threat ALL_CAPS</v>
      </c>
      <c r="U27" s="2" t="s">
        <v>30</v>
      </c>
      <c r="V27" s="2"/>
      <c r="W27" s="2"/>
      <c r="X27" s="2"/>
      <c r="Y27" s="2"/>
    </row>
    <row r="28">
      <c r="A28" s="2" t="s">
        <v>52</v>
      </c>
      <c r="B28" s="2" t="s">
        <v>25</v>
      </c>
      <c r="C28" s="4" t="str">
        <f t="shared" si="12"/>
        <v>your an asshole</v>
      </c>
      <c r="D28" s="5" t="b">
        <f>IFERROR(__xludf.DUMMYFUNCTION("REGEXMATCH(C28, ""\b(idiot|loser|stupid|dumb|moron|jerk|trash|worthless|crybaby|weirdo|fool|lazy|ugly|nobody|pathetic|silly|annoying|ridiculous|losing|weak|lame|failure|idiotic|clown|jerkface|dummy|loserface)\b"")"),FALSE)</f>
        <v>0</v>
      </c>
      <c r="E28" s="5" t="b">
        <f>IFERROR(__xludf.DUMMYFUNCTION("REGEXMATCH(C28,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8" s="6">
        <f>IFERROR(__xludf.DUMMYFUNCTION("LEN(REGEXREPLACE(A29,""[^A-Z]"",""""))"),0.0)</f>
        <v>0</v>
      </c>
      <c r="G28" s="6">
        <f>IFERROR(__xludf.DUMMYFUNCTION("LEN(REGEXREPLACE(A28,""[^!]"",""""))"),0.0)</f>
        <v>0</v>
      </c>
      <c r="H28" s="5" t="b">
        <f>IFERROR(__xludf.DUMMYFUNCTION("REGEXMATCH("" "" &amp; REGEXREPLACE(LOWER(C28), ""[^a-z0-9 ]"", "" "") &amp; "" "", ""\b(fuck|shit|ass|bitch|bastard|bullshit|cunt|dick|hell|motherfucker|niger|f u|asshole)\b"")
"),TRUE)</f>
        <v>1</v>
      </c>
      <c r="I28" s="6">
        <f t="shared" si="11"/>
        <v>2</v>
      </c>
      <c r="J28" s="4" t="str">
        <f t="shared" si="3"/>
        <v>POSSIBLE</v>
      </c>
      <c r="K28" s="2" t="str">
        <f t="shared" si="4"/>
        <v>profanity</v>
      </c>
      <c r="L28" s="2" t="s">
        <v>30</v>
      </c>
      <c r="M28" s="4" t="str">
        <f t="shared" si="5"/>
        <v>POSSIBLE</v>
      </c>
      <c r="N28" s="6">
        <f t="shared" si="6"/>
        <v>2</v>
      </c>
      <c r="O28" s="4" t="str">
        <f t="shared" si="7"/>
        <v>profanity</v>
      </c>
      <c r="P28" s="2" t="s">
        <v>30</v>
      </c>
      <c r="Q28" s="7">
        <f t="shared" si="8"/>
        <v>0.3849633911</v>
      </c>
      <c r="R28" s="4" t="str">
        <f t="shared" si="9"/>
        <v>POSSIBLE</v>
      </c>
      <c r="S28" s="6">
        <f t="shared" si="10"/>
        <v>2</v>
      </c>
      <c r="T28" s="2" t="str">
        <f t="shared" si="13"/>
        <v>profanity</v>
      </c>
      <c r="U28" s="2" t="s">
        <v>30</v>
      </c>
      <c r="V28" s="2"/>
      <c r="W28" s="2"/>
      <c r="X28" s="2"/>
      <c r="Y28" s="2"/>
    </row>
    <row r="29">
      <c r="A29" s="2" t="s">
        <v>53</v>
      </c>
      <c r="B29" s="2" t="s">
        <v>25</v>
      </c>
      <c r="C29" s="4" t="str">
        <f t="shared" si="12"/>
        <v>sybua</v>
      </c>
      <c r="D29" s="5" t="b">
        <f>IFERROR(__xludf.DUMMYFUNCTION("REGEXMATCH(C29, ""\b(idiot|loser|stupid|dumb|moron|jerk|trash|worthless|crybaby|weirdo|fool|lazy|ugly|nobody|pathetic|silly|annoying|ridiculous|losing|weak|lame|failure|idiotic|clown|jerkface|dummy|loserface)\b"")"),FALSE)</f>
        <v>0</v>
      </c>
      <c r="E29" s="5" t="b">
        <f>IFERROR(__xludf.DUMMYFUNCTION("REGEXMATCH(C29,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29" s="6">
        <f>IFERROR(__xludf.DUMMYFUNCTION("LEN(REGEXREPLACE(A30,""[^A-Z]"",""""))"),0.0)</f>
        <v>0</v>
      </c>
      <c r="G29" s="6">
        <f>IFERROR(__xludf.DUMMYFUNCTION("LEN(REGEXREPLACE(A29,""[^!]"",""""))"),0.0)</f>
        <v>0</v>
      </c>
      <c r="H29" s="5" t="b">
        <f>IFERROR(__xludf.DUMMYFUNCTION("REGEXMATCH("" "" &amp; REGEXREPLACE(LOWER(C29), ""[^a-z0-9 ]"", "" "") &amp; "" "", ""\b(fuck|shit|ass|bitch|bastard|bullshit|cunt|dick|hell|motherfucker|niger|f u|asshole)\b"")
"),FALSE)</f>
        <v>0</v>
      </c>
      <c r="I29" s="6">
        <f t="shared" si="11"/>
        <v>0</v>
      </c>
      <c r="J29" s="4" t="str">
        <f t="shared" si="3"/>
        <v>NOT BULLY</v>
      </c>
      <c r="K29" s="2" t="str">
        <f t="shared" si="4"/>
        <v/>
      </c>
      <c r="L29" s="2" t="s">
        <v>23</v>
      </c>
      <c r="M29" s="4" t="str">
        <f t="shared" si="5"/>
        <v>NOT BULLY</v>
      </c>
      <c r="N29" s="6">
        <f t="shared" si="6"/>
        <v>0</v>
      </c>
      <c r="O29" s="2" t="str">
        <f t="shared" si="7"/>
        <v/>
      </c>
      <c r="P29" s="2" t="s">
        <v>23</v>
      </c>
      <c r="Q29" s="7">
        <f t="shared" si="8"/>
        <v>0.6047459262</v>
      </c>
      <c r="R29" s="4" t="str">
        <f t="shared" si="9"/>
        <v>NOT BULLY</v>
      </c>
      <c r="S29" s="6">
        <f t="shared" si="10"/>
        <v>0</v>
      </c>
      <c r="T29" s="2"/>
      <c r="U29" s="2" t="s">
        <v>23</v>
      </c>
      <c r="V29" s="2"/>
      <c r="W29" s="2"/>
      <c r="X29" s="2"/>
      <c r="Y29" s="2"/>
    </row>
    <row r="30">
      <c r="A30" s="2" t="s">
        <v>54</v>
      </c>
      <c r="B30" s="2" t="s">
        <v>25</v>
      </c>
      <c r="C30" s="4" t="str">
        <f t="shared" si="12"/>
        <v>fuck you</v>
      </c>
      <c r="D30" s="5" t="b">
        <f>IFERROR(__xludf.DUMMYFUNCTION("REGEXMATCH(C30, ""\b(idiot|loser|stupid|dumb|moron|jerk|trash|worthless|crybaby|weirdo|fool|lazy|ugly|nobody|pathetic|silly|annoying|ridiculous|losing|weak|lame|failure|idiotic|clown|jerkface|dummy|loserface)\b"")"),FALSE)</f>
        <v>0</v>
      </c>
      <c r="E30" s="5" t="b">
        <f>IFERROR(__xludf.DUMMYFUNCTION("REGEXMATCH(C30,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30" s="6">
        <f>IFERROR(__xludf.DUMMYFUNCTION("LEN(REGEXREPLACE(A32,""[^A-Z]"",""""))"),0.0)</f>
        <v>0</v>
      </c>
      <c r="G30" s="6">
        <f>IFERROR(__xludf.DUMMYFUNCTION("LEN(REGEXREPLACE(A31,""[^!]"",""""))"),0.0)</f>
        <v>0</v>
      </c>
      <c r="H30" s="5" t="b">
        <f>IFERROR(__xludf.DUMMYFUNCTION("REGEXMATCH("" "" &amp; REGEXREPLACE(LOWER(C30), ""[^a-z0-9 ]"", "" "") &amp; "" "", ""\b(fuck|shit|ass|bitch|bastard|bullshit|cunt|dick|hell|motherfucker|niger|f u|asshole)\b"")
"),TRUE)</f>
        <v>1</v>
      </c>
      <c r="I30" s="6">
        <f t="shared" si="11"/>
        <v>2</v>
      </c>
      <c r="J30" s="4" t="str">
        <f t="shared" si="3"/>
        <v>POSSIBLE</v>
      </c>
      <c r="K30" s="2" t="str">
        <f t="shared" si="4"/>
        <v>profanity</v>
      </c>
      <c r="L30" s="2" t="s">
        <v>30</v>
      </c>
      <c r="M30" s="4" t="str">
        <f t="shared" si="5"/>
        <v>POSSIBLE</v>
      </c>
      <c r="N30" s="6">
        <f t="shared" si="6"/>
        <v>2</v>
      </c>
      <c r="O30" s="4" t="str">
        <f t="shared" si="7"/>
        <v>profanity</v>
      </c>
      <c r="P30" s="2" t="s">
        <v>30</v>
      </c>
      <c r="Q30" s="7">
        <f t="shared" si="8"/>
        <v>0.0143294756</v>
      </c>
      <c r="R30" s="4" t="str">
        <f t="shared" si="9"/>
        <v>POSSIBLE</v>
      </c>
      <c r="S30" s="6">
        <f t="shared" si="10"/>
        <v>2</v>
      </c>
      <c r="T30" s="2" t="str">
        <f>TRIM(
IF(D28," bully_word","") &amp;
IF(E28," threat","") &amp;
IF(F28&gt;4," ALL_CAPS","") &amp;
IF(G28&gt;=3," exclamations","") &amp;
IF(H28," profanity","")
)
</f>
        <v>profanity</v>
      </c>
      <c r="U30" s="2" t="s">
        <v>30</v>
      </c>
      <c r="V30" s="2"/>
      <c r="W30" s="2"/>
      <c r="X30" s="2"/>
      <c r="Y30" s="2"/>
    </row>
    <row r="31">
      <c r="A31" s="2" t="s">
        <v>55</v>
      </c>
      <c r="B31" s="2" t="s">
        <v>25</v>
      </c>
      <c r="C31" s="4" t="str">
        <f t="shared" si="12"/>
        <v>stop being a dick</v>
      </c>
      <c r="D31" s="5" t="b">
        <f>IFERROR(__xludf.DUMMYFUNCTION("REGEXMATCH(C31, ""\b(idiot|loser|stupid|dumb|moron|jerk|trash|worthless|crybaby|weirdo|fool|lazy|ugly|nobody|pathetic|silly|annoying|ridiculous|losing|weak|lame|failure|idiotic|clown|jerkface|dummy|loserface)\b"")"),FALSE)</f>
        <v>0</v>
      </c>
      <c r="E31" s="5" t="b">
        <f>IFERROR(__xludf.DUMMYFUNCTION("REGEXMATCH(C31, ""\b(kill|i will kill|i'll kill|gonna kill|find you|make you pay|hurt you|beat you|stab you|shoot you|strangle you|choke you|punch you|kick you|destroy you|break your|break your phone|break your legs|end you|wipe you out|come after you|i'm"&amp;" coming for you|watch your back|attack you|i'll get you|i will get you|i'm gonna get you|send you to hell|threaten|stalk you)\b"")"),FALSE)</f>
        <v>0</v>
      </c>
      <c r="F31" s="6">
        <f>IFERROR(__xludf.DUMMYFUNCTION("LEN(REGEXREPLACE(A31,""[^A-Z]"",""""))"),0.0)</f>
        <v>0</v>
      </c>
      <c r="G31" s="6">
        <f>IFERROR(__xludf.DUMMYFUNCTION("LEN(REGEXREPLACE(A31,""[^!]"",""""))"),0.0)</f>
        <v>0</v>
      </c>
      <c r="H31" s="5" t="b">
        <f>IFERROR(__xludf.DUMMYFUNCTION("REGEXMATCH("" "" &amp; REGEXREPLACE(LOWER(C31), ""[^a-z0-9 ]"", "" "") &amp; "" "", ""\b(fuck|shit|ass|bitch|bastard|bullshit|cunt|dick|hell|motherfucker|niger|f u|asshole)\b"")
"),TRUE)</f>
        <v>1</v>
      </c>
      <c r="I31" s="6">
        <f t="shared" si="11"/>
        <v>2</v>
      </c>
      <c r="J31" s="4" t="str">
        <f t="shared" si="3"/>
        <v>POSSIBLE</v>
      </c>
      <c r="K31" s="2" t="str">
        <f t="shared" si="4"/>
        <v>profanity</v>
      </c>
      <c r="L31" s="2" t="s">
        <v>30</v>
      </c>
      <c r="M31" s="4" t="str">
        <f t="shared" si="5"/>
        <v>POSSIBLE</v>
      </c>
      <c r="N31" s="6">
        <f t="shared" si="6"/>
        <v>2</v>
      </c>
      <c r="O31" s="4" t="str">
        <f t="shared" si="7"/>
        <v>profanity</v>
      </c>
      <c r="P31" s="2" t="s">
        <v>30</v>
      </c>
      <c r="Q31" s="7">
        <f t="shared" si="8"/>
        <v>0.5186702866</v>
      </c>
      <c r="R31" s="4" t="str">
        <f t="shared" si="9"/>
        <v>POSSIBLE</v>
      </c>
      <c r="S31" s="6">
        <f t="shared" si="10"/>
        <v>2</v>
      </c>
      <c r="T31" s="2" t="str">
        <f>TRIM(
IF(D28," bully_word","") &amp;
IF(E28," threat","") &amp;
IF(F28&gt;4," ALL_CAPS","") &amp;
IF(G28&gt;=3," exclamations","") &amp;
IF(H28," profanity","")
)
</f>
        <v>profanity</v>
      </c>
      <c r="U31" s="2" t="s">
        <v>30</v>
      </c>
      <c r="V31" s="2"/>
      <c r="W31" s="2"/>
      <c r="X31" s="2"/>
      <c r="Y31" s="2"/>
    </row>
    <row r="32">
      <c r="A32" s="2" t="s">
        <v>56</v>
      </c>
      <c r="B32" s="2" t="s">
        <v>25</v>
      </c>
      <c r="C32" s="4" t="str">
        <f t="shared" si="12"/>
        <v>f u</v>
      </c>
      <c r="D32" s="5" t="b">
        <f>IFERROR(__xludf.DUMMYFUNCTION("REGEXMATCH(C32, ""\b(idiot|loser|stupid|dumb|moron|jerk|trash|worthless|crybaby|weirdo|fool|lazy|ugly|nobody|pathetic|silly|annoying|ridiculous|losing|weak|lame|failure|idiotic|clown|jerkface|dummy|loserface)\b"")"),FALSE)</f>
        <v>0</v>
      </c>
      <c r="E32" s="5" t="b">
        <f>IFERROR(__xludf.DUMMYFUNCTION("REGEXMATCH(C32, ""\b(kill|i will kill|i'll kill|gonna kill|find you|make you pay|hurt you|beat you|stab you|shoot you|strangle you|choke you|punch you|kick you|destroy you|break your legs|end you|wipe you out|come after you|i'm coming for you|watch your b"&amp;"ack|attack you|i'll get you|i will get you|i'm gonna get you|send you to hell|threaten|stalk you|)\b"")"),TRUE)</f>
        <v>1</v>
      </c>
      <c r="F32" s="6">
        <f>IFERROR(__xludf.DUMMYFUNCTION("LEN(REGEXREPLACE(A31,""[^A-Z]"",""""))"),0.0)</f>
        <v>0</v>
      </c>
      <c r="G32" s="6">
        <f>IFERROR(__xludf.DUMMYFUNCTION("LEN(REGEXREPLACE(A32,""[^!]"",""""))"),0.0)</f>
        <v>0</v>
      </c>
      <c r="H32" s="5" t="b">
        <f>IFERROR(__xludf.DUMMYFUNCTION("REGEXMATCH("" "" &amp; REGEXREPLACE(LOWER(C32), ""[^a-z0-9 ]"", "" "") &amp; "" "", ""\b(fuck|shit|ass|bitch|bastard|bullshit|cunt|dick|hell|motherfucker|niger|f u|asshole)\b"")
"),TRUE)</f>
        <v>1</v>
      </c>
      <c r="I32" s="6">
        <f t="shared" si="11"/>
        <v>7</v>
      </c>
      <c r="J32" s="4" t="str">
        <f t="shared" si="3"/>
        <v>BULLY</v>
      </c>
      <c r="K32" s="2" t="str">
        <f t="shared" si="4"/>
        <v>threat profanity</v>
      </c>
      <c r="L32" s="2" t="s">
        <v>30</v>
      </c>
      <c r="M32" s="4" t="str">
        <f t="shared" si="5"/>
        <v>BULLY</v>
      </c>
      <c r="N32" s="6">
        <f t="shared" si="6"/>
        <v>7</v>
      </c>
      <c r="O32" s="4" t="str">
        <f t="shared" si="7"/>
        <v>threat profanity</v>
      </c>
      <c r="P32" s="2" t="s">
        <v>30</v>
      </c>
      <c r="Q32" s="7">
        <f t="shared" si="8"/>
        <v>0.9543436522</v>
      </c>
      <c r="R32" s="4" t="str">
        <f t="shared" si="9"/>
        <v>BULLY</v>
      </c>
      <c r="S32" s="6">
        <f t="shared" si="10"/>
        <v>7</v>
      </c>
      <c r="T32" s="2" t="str">
        <f t="shared" ref="T32:T35" si="14">TRIM(
IF(D32," bully_word","") &amp;
IF(E32," threat","") &amp;
IF(F32&gt;4," ALL_CAPS","") &amp;
IF(G32&gt;=3," exclamations","") &amp;
IF(H32," profanity","")
)
</f>
        <v>threat profanity</v>
      </c>
      <c r="U32" s="2" t="s">
        <v>30</v>
      </c>
      <c r="V32" s="2"/>
      <c r="W32" s="2"/>
      <c r="X32" s="2"/>
      <c r="Y32" s="2"/>
    </row>
    <row r="33">
      <c r="A33" s="2" t="s">
        <v>57</v>
      </c>
      <c r="B33" s="2" t="s">
        <v>25</v>
      </c>
      <c r="C33" s="4" t="str">
        <f t="shared" si="12"/>
        <v>shut the fuck up!!!!!</v>
      </c>
      <c r="D33" s="5" t="b">
        <f>IFERROR(__xludf.DUMMYFUNCTION("REGEXMATCH(C33, ""\b(idiot|loser|stupid|dumb|moron|jerk|trash|worthless|crybaby|weirdo|fool|lazy|ugly|nobody|pathetic|silly|annoying|ridiculous|losing|weak|lame|failure|idiotic|clown|jerkface|dummy|loserface)\b"")"),FALSE)</f>
        <v>0</v>
      </c>
      <c r="E33" s="5" t="b">
        <f>IFERROR(__xludf.DUMMYFUNCTION("REGEXMATCH(C33, ""\b(kill|i will kill|i'll kill|gonna kill|find you|make you pay|hurt you|beat you|stab you|shoot you|strangle you|choke you|punch you|kick you|destroy you|break your legs|end you|wipe you out|come after you|i'm coming for you|watch your b"&amp;"ack|attack you|i'll get you|i will get you|i'm gonna get you|send you to hell|threaten|stalk you|)\b"")"),TRUE)</f>
        <v>1</v>
      </c>
      <c r="F33" s="6">
        <f>IFERROR(__xludf.DUMMYFUNCTION("LEN(REGEXREPLACE(A33,""[^A-Z]"",""""))"),13.0)</f>
        <v>13</v>
      </c>
      <c r="G33" s="6">
        <f>IFERROR(__xludf.DUMMYFUNCTION("LEN(REGEXREPLACE(A33,""[^!]"",""""))"),5.0)</f>
        <v>5</v>
      </c>
      <c r="H33" s="5" t="b">
        <f>IFERROR(__xludf.DUMMYFUNCTION("REGEXMATCH("" "" &amp; REGEXREPLACE(LOWER(C33), ""[^a-z0-9 ]"", "" "") &amp; "" "", ""\b(fuck|shit|ass|bitch|bastard|bullshit|cunt|dick|hell|motherfucker|niger|f u|asshole)\b"")
"),TRUE)</f>
        <v>1</v>
      </c>
      <c r="I33" s="6">
        <f t="shared" si="11"/>
        <v>10</v>
      </c>
      <c r="J33" s="4" t="str">
        <f t="shared" si="3"/>
        <v>BULLY</v>
      </c>
      <c r="K33" s="2" t="str">
        <f t="shared" si="4"/>
        <v>threat ALL_CAPS exclamations profanity</v>
      </c>
      <c r="L33" s="2" t="s">
        <v>30</v>
      </c>
      <c r="M33" s="4" t="str">
        <f t="shared" si="5"/>
        <v>BULLY</v>
      </c>
      <c r="N33" s="6">
        <f t="shared" si="6"/>
        <v>10</v>
      </c>
      <c r="O33" s="4" t="str">
        <f t="shared" si="7"/>
        <v>threat ALL_CAPS exclamations profanity</v>
      </c>
      <c r="P33" s="2" t="s">
        <v>30</v>
      </c>
      <c r="Q33" s="7">
        <f t="shared" si="8"/>
        <v>0.2634226718</v>
      </c>
      <c r="R33" s="4" t="str">
        <f t="shared" si="9"/>
        <v>BULLY</v>
      </c>
      <c r="S33" s="6">
        <f t="shared" si="10"/>
        <v>10</v>
      </c>
      <c r="T33" s="2" t="str">
        <f t="shared" si="14"/>
        <v>threat ALL_CAPS exclamations profanity</v>
      </c>
      <c r="U33" s="2" t="s">
        <v>30</v>
      </c>
      <c r="V33" s="2"/>
      <c r="W33" s="2"/>
      <c r="X33" s="2"/>
      <c r="Y33" s="2"/>
    </row>
    <row r="34">
      <c r="A34" s="2" t="s">
        <v>58</v>
      </c>
      <c r="B34" s="2" t="s">
        <v>25</v>
      </c>
      <c r="C34" s="4" t="str">
        <f t="shared" si="12"/>
        <v>you motherfucker</v>
      </c>
      <c r="D34" s="5" t="b">
        <f>IFERROR(__xludf.DUMMYFUNCTION("REGEXMATCH(C34, ""\b(idiot|loser|stupid|dumb|moron|jerk|trash|worthless|crybaby|weirdo|fool|lazy|ugly|nobody|pathetic|silly|annoying|ridiculous|losing|weak|lame|failure|idiotic|clown|jerkface|dummy|loserface)\b"")"),FALSE)</f>
        <v>0</v>
      </c>
      <c r="E34" s="5" t="b">
        <f>IFERROR(__xludf.DUMMYFUNCTION("REGEXMATCH(C34, ""\b(kill|i will kill|i'll kill|gonna kill|find you|make you pay|hurt you|beat you|stab you|shoot you|strangle you|choke you|punch you|kick you|destroy you|break your legs|end you|wipe you out|come after you|i'm coming for you|watch your b"&amp;"ack|attack you|i'll get you|i will get you|i'm gonna get you|send you to hell|threaten|stalk you|)\b"")"),TRUE)</f>
        <v>1</v>
      </c>
      <c r="F34" s="6">
        <f>IFERROR(__xludf.DUMMYFUNCTION("LEN(REGEXREPLACE(A34,""[^A-Z]"",""""))"),0.0)</f>
        <v>0</v>
      </c>
      <c r="G34" s="6">
        <f>IFERROR(__xludf.DUMMYFUNCTION("LEN(REGEXREPLACE(A34,""[^!]"",""""))"),0.0)</f>
        <v>0</v>
      </c>
      <c r="H34" s="5" t="b">
        <f>IFERROR(__xludf.DUMMYFUNCTION("REGEXMATCH("" "" &amp; REGEXREPLACE(LOWER(C34), ""[^a-z0-9 ]"", "" "") &amp; "" "", ""\b(fuck|shit|ass|bitch|bastard|bullshit|cunt|dick|hell|motherfucker|niger|f u|asshole)\b"")
"),TRUE)</f>
        <v>1</v>
      </c>
      <c r="I34" s="6">
        <f t="shared" si="11"/>
        <v>7</v>
      </c>
      <c r="J34" s="4" t="str">
        <f t="shared" si="3"/>
        <v>BULLY</v>
      </c>
      <c r="K34" s="2" t="str">
        <f t="shared" si="4"/>
        <v>threat profanity</v>
      </c>
      <c r="L34" s="2" t="s">
        <v>30</v>
      </c>
      <c r="M34" s="4" t="str">
        <f t="shared" si="5"/>
        <v>BULLY</v>
      </c>
      <c r="N34" s="6">
        <f t="shared" si="6"/>
        <v>7</v>
      </c>
      <c r="O34" s="4" t="str">
        <f t="shared" si="7"/>
        <v>threat profanity</v>
      </c>
      <c r="P34" s="2" t="s">
        <v>30</v>
      </c>
      <c r="Q34" s="7">
        <f t="shared" si="8"/>
        <v>0.6427361569</v>
      </c>
      <c r="R34" s="4" t="str">
        <f t="shared" si="9"/>
        <v>BULLY</v>
      </c>
      <c r="S34" s="6">
        <f t="shared" si="10"/>
        <v>7</v>
      </c>
      <c r="T34" s="2" t="str">
        <f t="shared" si="14"/>
        <v>threat profanity</v>
      </c>
      <c r="U34" s="2" t="s">
        <v>30</v>
      </c>
      <c r="V34" s="2"/>
      <c r="W34" s="2"/>
      <c r="X34" s="2"/>
      <c r="Y34" s="2"/>
    </row>
    <row r="35">
      <c r="A35" s="2" t="s">
        <v>59</v>
      </c>
      <c r="B35" s="2" t="s">
        <v>25</v>
      </c>
      <c r="C35" s="4" t="str">
        <f t="shared" si="12"/>
        <v>go to hell</v>
      </c>
      <c r="D35" s="5" t="b">
        <f>IFERROR(__xludf.DUMMYFUNCTION("REGEXMATCH(C35, ""\b(idiot|loser|stupid|dumb|moron|jerk|trash|worthless|crybaby|weirdo|fool|lazy|ugly|nobody|pathetic|silly|annoying|ridiculous|losing|weak|lame|failure|idiotic|clown|jerkface|dummy|loserface)\b"")"),FALSE)</f>
        <v>0</v>
      </c>
      <c r="E35" s="5" t="b">
        <f>IFERROR(__xludf.DUMMYFUNCTION("REGEXMATCH(C35, ""\b(kill|i will kill|i'll kill|gonna kill|find you|make you pay|hurt you|beat you|stab you|shoot you|strangle you|choke you|punch you|kick you|destroy you|break your legs|end you|wipe you out|come after you|i'm coming for you|watch your b"&amp;"ack|attack you|i'll get you|i will get you|i'm gonna get you|send you to hell|threaten|stalk you|)\b"")"),TRUE)</f>
        <v>1</v>
      </c>
      <c r="F35" s="6">
        <f>IFERROR(__xludf.DUMMYFUNCTION("LEN(REGEXREPLACE(A35,""[^A-Z]"",""""))"),0.0)</f>
        <v>0</v>
      </c>
      <c r="G35" s="6">
        <f>IFERROR(__xludf.DUMMYFUNCTION("LEN(REGEXREPLACE(A35,""[^!]"",""""))"),0.0)</f>
        <v>0</v>
      </c>
      <c r="H35" s="5" t="b">
        <f>IFERROR(__xludf.DUMMYFUNCTION("REGEXMATCH("" "" &amp; REGEXREPLACE(LOWER(C34), ""[^a-z0-9 ]"", "" "") &amp; "" "", ""\b(fuck|shit|ass|bitch|bastard|bullshit|cunt|dick|hell|motherfucker|niger|f u|asshole)\b"")
"),TRUE)</f>
        <v>1</v>
      </c>
      <c r="I35" s="6">
        <f t="shared" si="11"/>
        <v>7</v>
      </c>
      <c r="J35" s="4" t="str">
        <f t="shared" si="3"/>
        <v>BULLY</v>
      </c>
      <c r="K35" s="2" t="str">
        <f t="shared" si="4"/>
        <v>threat profanity</v>
      </c>
      <c r="L35" s="2" t="s">
        <v>30</v>
      </c>
      <c r="M35" s="4" t="str">
        <f t="shared" si="5"/>
        <v>BULLY</v>
      </c>
      <c r="N35" s="6">
        <f t="shared" si="6"/>
        <v>7</v>
      </c>
      <c r="O35" s="4" t="str">
        <f t="shared" si="7"/>
        <v>threat profanity</v>
      </c>
      <c r="P35" s="2" t="s">
        <v>30</v>
      </c>
      <c r="Q35" s="7">
        <f t="shared" si="8"/>
        <v>0.08587957894</v>
      </c>
      <c r="R35" s="4" t="str">
        <f t="shared" si="9"/>
        <v>BULLY</v>
      </c>
      <c r="S35" s="6">
        <f t="shared" si="10"/>
        <v>7</v>
      </c>
      <c r="T35" s="2" t="str">
        <f t="shared" si="14"/>
        <v>threat profanity</v>
      </c>
      <c r="U35" s="2" t="s">
        <v>30</v>
      </c>
      <c r="V35" s="2"/>
      <c r="W35" s="2"/>
      <c r="X35" s="2"/>
      <c r="Y35" s="2"/>
    </row>
  </sheetData>
  <drawing r:id="rId1"/>
</worksheet>
</file>